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START" sheetId="1" state="visible" r:id="rId1"/>
    <sheet name="01_DELIVERABLES" sheetId="2" state="visible" r:id="rId2"/>
    <sheet name="02_COMPONENTS" sheetId="3" state="visible" r:id="rId3"/>
    <sheet name="03_TEST_EVIDENCE" sheetId="4" state="visible" r:id="rId4"/>
    <sheet name="04_TRACK_CRITERIA" sheetId="5" state="visible" r:id="rId5"/>
    <sheet name="05_REVIEW_RESULT" sheetId="6" state="visible" r:id="rId6"/>
    <sheet name="06_LIVE_VALIDATION" sheetId="7" state="visible" r:id="rId7"/>
    <sheet name="07_BATCH_MODERATION" sheetId="8" state="visible" r:id="rId8"/>
  </sheets>
  <definedNames/>
</workbook>
</file>

<file path=xl/styles.xml><?xml version="1.0" encoding="utf-8"?>
<styleSheet xmlns="http://schemas.openxmlformats.org/spreadsheetml/2006/main">
  <numFmts count="3">
    <numFmt numFmtId="164" formatCode="yyyy-mm-dd"/>
    <numFmt numFmtId="165" formatCode="0.0"/>
    <numFmt numFmtId="166" formatCode="0.000"/>
  </numFmts>
  <fonts count="7">
    <font>
      <name val="Carlito"/>
      <sz val="11"/>
    </font>
    <font>
      <name val="Carlito"/>
      <b val="1"/>
      <color rgb="FFFFFFFF"/>
      <sz val="17"/>
    </font>
    <font>
      <name val="Carlito"/>
      <i val="1"/>
      <color rgb="FFFFFFFF"/>
      <sz val="10"/>
    </font>
    <font>
      <name val="Carlito"/>
      <b val="1"/>
      <color rgb="FFFFFFFF"/>
      <sz val="11"/>
    </font>
    <font>
      <name val="Carlito"/>
      <b val="1"/>
      <color rgb="FF14212B"/>
      <sz val="11"/>
    </font>
    <font>
      <name val="Carlito"/>
      <color rgb="FF14212B"/>
      <sz val="9"/>
    </font>
    <font>
      <name val="Carlito"/>
      <b val="1"/>
      <sz val="11"/>
    </font>
  </fonts>
  <fills count="11">
    <fill>
      <patternFill/>
    </fill>
    <fill>
      <patternFill patternType="gray125"/>
    </fill>
    <fill>
      <patternFill patternType="solid">
        <fgColor rgb="FF0B1B2B"/>
      </patternFill>
    </fill>
    <fill>
      <patternFill patternType="solid">
        <fgColor rgb="FF008F8A"/>
      </patternFill>
    </fill>
    <fill>
      <patternFill patternType="solid">
        <fgColor rgb="FF12324D"/>
      </patternFill>
    </fill>
    <fill>
      <patternFill patternType="solid">
        <fgColor rgb="FFF3F5F7"/>
      </patternFill>
    </fill>
    <fill>
      <patternFill patternType="solid">
        <fgColor rgb="FFFFF4C7"/>
      </patternFill>
    </fill>
    <fill>
      <patternFill patternType="solid">
        <fgColor rgb="FFE7F5F3"/>
      </patternFill>
    </fill>
    <fill>
      <patternFill patternType="solid">
        <fgColor rgb="FFFFFFFF"/>
      </patternFill>
    </fill>
    <fill>
      <patternFill patternType="solid">
        <fgColor rgb="FFEAF2F8"/>
      </patternFill>
    </fill>
    <fill>
      <patternFill patternType="solid">
        <fgColor rgb="FFFCE8E6"/>
      </patternFill>
    </fill>
  </fills>
  <borders count="11">
    <border/>
    <border>
      <left style="thin">
        <color rgb="FFD7E0E6"/>
      </left>
      <right style="thin">
        <color rgb="FFD7E0E6"/>
      </right>
      <top style="thin">
        <color rgb="FFD7E0E6"/>
      </top>
      <bottom style="thin">
        <color rgb="FFD7E0E6"/>
      </bottom>
    </border>
    <border>
      <top style="thin">
        <color rgb="FFD7E0E6"/>
      </top>
    </border>
    <border>
      <right style="thin">
        <color rgb="FFD7E0E6"/>
      </right>
      <top style="thin">
        <color rgb="FFD7E0E6"/>
      </top>
    </border>
    <border>
      <top style="thin">
        <color rgb="FFD7E0E6"/>
      </top>
      <bottom style="thin">
        <color rgb="FFD7E0E6"/>
      </bottom>
    </border>
    <border>
      <right style="thin">
        <color rgb="FFD7E0E6"/>
      </right>
      <top style="thin">
        <color rgb="FFD7E0E6"/>
      </top>
      <bottom style="thin">
        <color rgb="FFD7E0E6"/>
      </bottom>
    </border>
    <border>
      <left style="thin">
        <color rgb="FFD7E0E6"/>
      </left>
    </border>
    <border>
      <right style="thin">
        <color rgb="FFD7E0E6"/>
      </right>
    </border>
    <border>
      <left style="thin">
        <color rgb="FFD7E0E6"/>
      </left>
      <bottom style="thin">
        <color rgb="FFD7E0E6"/>
      </bottom>
    </border>
    <border>
      <bottom style="thin">
        <color rgb="FFD7E0E6"/>
      </bottom>
    </border>
    <border>
      <right style="thin">
        <color rgb="FFD7E0E6"/>
      </right>
      <bottom style="thin">
        <color rgb="FFD7E0E6"/>
      </bottom>
    </border>
  </borders>
  <cellStyleXfs count="1">
    <xf numFmtId="0" fontId="0" fillId="0" borderId="0"/>
  </cellStyleXfs>
  <cellXfs count="82">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4" borderId="0" pivotButton="0" quotePrefix="0" xfId="0"/>
    <xf numFmtId="0" fontId="3" fillId="4" borderId="0" pivotButton="0" quotePrefix="0" xfId="0"/>
    <xf numFmtId="0" fontId="3" fillId="4" borderId="0" applyAlignment="1" pivotButton="0" quotePrefix="0" xfId="0">
      <alignment vertical="center"/>
    </xf>
    <xf numFmtId="0" fontId="0" fillId="5" borderId="0" pivotButton="0" quotePrefix="0" xfId="0"/>
    <xf numFmtId="0" fontId="4" fillId="5" borderId="0" pivotButton="0" quotePrefix="0" xfId="0"/>
    <xf numFmtId="0" fontId="4" fillId="5" borderId="1" pivotButton="0" quotePrefix="0" xfId="0"/>
    <xf numFmtId="0" fontId="4" fillId="5" borderId="1" applyAlignment="1" pivotButton="0" quotePrefix="0" xfId="0">
      <alignment wrapText="1"/>
    </xf>
    <xf numFmtId="0" fontId="0" fillId="6" borderId="0" pivotButton="0" quotePrefix="0" xfId="0"/>
    <xf numFmtId="0" fontId="5" fillId="6" borderId="0" pivotButton="0" quotePrefix="0" xfId="0"/>
    <xf numFmtId="0" fontId="5" fillId="6" borderId="1" pivotButton="0" quotePrefix="0" xfId="0"/>
    <xf numFmtId="0" fontId="5" fillId="6" borderId="1" applyAlignment="1" pivotButton="0" quotePrefix="0" xfId="0">
      <alignment wrapText="1"/>
    </xf>
    <xf numFmtId="0" fontId="5" fillId="6" borderId="1" applyAlignment="1" pivotButton="0" quotePrefix="0" xfId="0">
      <alignment vertical="top" wrapText="1"/>
    </xf>
    <xf numFmtId="0" fontId="0" fillId="7" borderId="0" pivotButton="0" quotePrefix="0" xfId="0"/>
    <xf numFmtId="0" fontId="5" fillId="7" borderId="0" pivotButton="0" quotePrefix="0" xfId="0"/>
    <xf numFmtId="0" fontId="5" fillId="7" borderId="1" pivotButton="0" quotePrefix="0" xfId="0"/>
    <xf numFmtId="0" fontId="5" fillId="7" borderId="1" applyAlignment="1" pivotButton="0" quotePrefix="0" xfId="0">
      <alignment wrapText="1"/>
    </xf>
    <xf numFmtId="0" fontId="5" fillId="7" borderId="1" applyAlignment="1" pivotButton="0" quotePrefix="0" xfId="0">
      <alignment vertical="top" wrapText="1"/>
    </xf>
    <xf numFmtId="164" fontId="5" fillId="6" borderId="1" applyAlignment="1" pivotButton="0" quotePrefix="0" xfId="0">
      <alignment vertical="top" wrapText="1"/>
    </xf>
    <xf numFmtId="0" fontId="3" fillId="3" borderId="0" pivotButton="0" quotePrefix="0" xfId="0"/>
    <xf numFmtId="0" fontId="3" fillId="3" borderId="1" pivotButton="0" quotePrefix="0" xfId="0"/>
    <xf numFmtId="0" fontId="3" fillId="3" borderId="1" applyAlignment="1" pivotButton="0" quotePrefix="0" xfId="0">
      <alignment horizontal="center"/>
    </xf>
    <xf numFmtId="0" fontId="3" fillId="3" borderId="1" applyAlignment="1" pivotButton="0" quotePrefix="0" xfId="0">
      <alignment horizontal="center" vertical="center"/>
    </xf>
    <xf numFmtId="0" fontId="0" fillId="8" borderId="0" pivotButton="0" quotePrefix="0" xfId="0"/>
    <xf numFmtId="0" fontId="5" fillId="8" borderId="0" pivotButton="0" quotePrefix="0" xfId="0"/>
    <xf numFmtId="0" fontId="5" fillId="8" borderId="1" pivotButton="0" quotePrefix="0" xfId="0"/>
    <xf numFmtId="0" fontId="5" fillId="8" borderId="1" applyAlignment="1" pivotButton="0" quotePrefix="0" xfId="0">
      <alignment wrapText="1"/>
    </xf>
    <xf numFmtId="0" fontId="5" fillId="8" borderId="1" applyAlignment="1" pivotButton="0" quotePrefix="0" xfId="0">
      <alignment vertical="top" wrapText="1"/>
    </xf>
    <xf numFmtId="0" fontId="3" fillId="4" borderId="1" pivotButton="0" quotePrefix="0" xfId="0"/>
    <xf numFmtId="0" fontId="3" fillId="4" borderId="1" applyAlignment="1" pivotButton="0" quotePrefix="0" xfId="0">
      <alignment wrapText="1"/>
    </xf>
    <xf numFmtId="0" fontId="3" fillId="4" borderId="1" applyAlignment="1" pivotButton="0" quotePrefix="0" xfId="0">
      <alignment vertical="center" wrapText="1"/>
    </xf>
    <xf numFmtId="0" fontId="4" fillId="6" borderId="0" pivotButton="0" quotePrefix="0" xfId="0"/>
    <xf numFmtId="0" fontId="4" fillId="6" borderId="1" pivotButton="0" quotePrefix="0" xfId="0"/>
    <xf numFmtId="0" fontId="4" fillId="6" borderId="1" applyAlignment="1" pivotButton="0" quotePrefix="0" xfId="0">
      <alignment wrapText="1"/>
    </xf>
    <xf numFmtId="0" fontId="4" fillId="6" borderId="1" applyAlignment="1" pivotButton="0" quotePrefix="0" xfId="0">
      <alignment vertical="center" wrapText="1"/>
    </xf>
    <xf numFmtId="0" fontId="6" fillId="5" borderId="0" pivotButton="0" quotePrefix="0" xfId="0"/>
    <xf numFmtId="0" fontId="6" fillId="5" borderId="1" pivotButton="0" quotePrefix="0" xfId="0"/>
    <xf numFmtId="0" fontId="0" fillId="9" borderId="0" pivotButton="0" quotePrefix="0" xfId="0"/>
    <xf numFmtId="0" fontId="5" fillId="9" borderId="0" pivotButton="0" quotePrefix="0" xfId="0"/>
    <xf numFmtId="0" fontId="5" fillId="9" borderId="1" pivotButton="0" quotePrefix="0" xfId="0"/>
    <xf numFmtId="0" fontId="5" fillId="9" borderId="1" applyAlignment="1" pivotButton="0" quotePrefix="0" xfId="0">
      <alignment wrapText="1"/>
    </xf>
    <xf numFmtId="0" fontId="5" fillId="9" borderId="1" applyAlignment="1" pivotButton="0" quotePrefix="0" xfId="0">
      <alignment vertical="top" wrapText="1"/>
    </xf>
    <xf numFmtId="165" fontId="5" fillId="6" borderId="1" applyAlignment="1" pivotButton="0" quotePrefix="0" xfId="0">
      <alignment vertical="top" wrapText="1"/>
    </xf>
    <xf numFmtId="0" fontId="4" fillId="7" borderId="0" pivotButton="0" quotePrefix="0" xfId="0"/>
    <xf numFmtId="0" fontId="4" fillId="7" borderId="1" pivotButton="0" quotePrefix="0" xfId="0"/>
    <xf numFmtId="0" fontId="4" fillId="7" borderId="1" applyAlignment="1" pivotButton="0" quotePrefix="0" xfId="0">
      <alignment wrapText="1"/>
    </xf>
    <xf numFmtId="166" fontId="5" fillId="6" borderId="1" applyAlignment="1" pivotButton="0" quotePrefix="0" xfId="0">
      <alignment vertical="top" wrapText="1"/>
    </xf>
    <xf numFmtId="0" fontId="4" fillId="9" borderId="0" pivotButton="0" quotePrefix="0" xfId="0"/>
    <xf numFmtId="0" fontId="4" fillId="9" borderId="1" pivotButton="0" quotePrefix="0" xfId="0"/>
    <xf numFmtId="0" fontId="4" fillId="9" borderId="1" applyAlignment="1" pivotButton="0" quotePrefix="0" xfId="0">
      <alignment wrapText="1"/>
    </xf>
    <xf numFmtId="0" fontId="3" fillId="4" borderId="1" applyAlignment="1" pivotButton="0" quotePrefix="0" xfId="0">
      <alignment horizontal="center"/>
    </xf>
    <xf numFmtId="0" fontId="3" fillId="4" borderId="1" applyAlignment="1" pivotButton="0" quotePrefix="0" xfId="0">
      <alignment horizontal="center" vertical="center"/>
    </xf>
    <xf numFmtId="0" fontId="4" fillId="7" borderId="1" applyAlignment="1" pivotButton="0" quotePrefix="0" xfId="0">
      <alignment vertical="center" wrapText="1"/>
    </xf>
    <xf numFmtId="0" fontId="0" fillId="10" borderId="0" pivotButton="0" quotePrefix="0" xfId="0"/>
    <xf numFmtId="0" fontId="4" fillId="10" borderId="0" pivotButton="0" quotePrefix="0" xfId="0"/>
    <xf numFmtId="0" fontId="4" fillId="10" borderId="1" pivotButton="0" quotePrefix="0" xfId="0"/>
    <xf numFmtId="0" fontId="4" fillId="10" borderId="1" applyAlignment="1" pivotButton="0" quotePrefix="0" xfId="0">
      <alignment wrapText="1"/>
    </xf>
    <xf numFmtId="0" fontId="4" fillId="10" borderId="1" applyAlignment="1" pivotButton="0" quotePrefix="0" xfId="0">
      <alignment vertical="center" wrapText="1"/>
    </xf>
    <xf numFmtId="0" fontId="5" fillId="5" borderId="0" pivotButton="0" quotePrefix="0" xfId="0"/>
    <xf numFmtId="0" fontId="5" fillId="5" borderId="1" pivotButton="0" quotePrefix="0" xfId="0"/>
    <xf numFmtId="0" fontId="5" fillId="5" borderId="1" applyAlignment="1" pivotButton="0" quotePrefix="0" xfId="0">
      <alignment wrapText="1"/>
    </xf>
    <xf numFmtId="0" fontId="5" fillId="5" borderId="1" applyAlignment="1" pivotButton="0" quotePrefix="0" xfId="0">
      <alignment vertical="center" wrapText="1"/>
    </xf>
    <xf numFmtId="0" fontId="5" fillId="5" borderId="1" applyAlignment="1" pivotButton="0" quotePrefix="0" xfId="0">
      <alignment vertical="top" wrapText="1"/>
    </xf>
    <xf numFmtId="0" fontId="0" fillId="0" borderId="4" pivotButton="0" quotePrefix="0" xfId="0"/>
    <xf numFmtId="0" fontId="0" fillId="0" borderId="5" pivotButton="0" quotePrefix="0" xfId="0"/>
    <xf numFmtId="164" fontId="5" fillId="6" borderId="1" applyAlignment="1" pivotButton="0" quotePrefix="0" xfId="0">
      <alignment vertical="top" wrapText="1"/>
    </xf>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6" pivotButton="0" quotePrefix="0" xfId="0"/>
    <xf numFmtId="0" fontId="0" fillId="0" borderId="7" pivotButton="0" quotePrefix="0" xfId="0"/>
    <xf numFmtId="165" fontId="5" fillId="6" borderId="1" applyAlignment="1" pivotButton="0" quotePrefix="0" xfId="0">
      <alignment vertical="top" wrapText="1"/>
    </xf>
    <xf numFmtId="166" fontId="5" fillId="6"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RowHeight="15"/>
  <cols>
    <col width="18" customWidth="1" min="1" max="1"/>
    <col width="14" customWidth="1" min="2" max="2"/>
    <col width="14" customWidth="1" min="3" max="3"/>
    <col width="14" customWidth="1" min="4" max="4"/>
    <col width="22" customWidth="1" min="5" max="5"/>
    <col width="16" customWidth="1" min="6" max="6"/>
    <col width="18" customWidth="1" min="7" max="7"/>
    <col width="18" customWidth="1" min="8" max="8"/>
  </cols>
  <sheetData>
    <row r="1" ht="34" customHeight="1">
      <c r="A1" s="3" t="inlineStr">
        <is>
          <t>IncuBrix | Track 03 Assessment Workbook</t>
        </is>
      </c>
    </row>
    <row r="2" ht="28" customHeight="1">
      <c r="A2" s="7" t="inlineStr">
        <is>
          <t>Open-Source Draft Video Generation and Model Routing | Yellow = candidate | Blue = reviewer | Green = calculated</t>
        </is>
      </c>
    </row>
    <row r="4" ht="23" customHeight="1">
      <c r="A4" s="10" t="inlineStr">
        <is>
          <t>Candidate and Submission Details</t>
        </is>
      </c>
    </row>
    <row r="5">
      <c r="A5" s="14" t="inlineStr">
        <is>
          <t>Candidate ID</t>
        </is>
      </c>
      <c r="B5" s="19" t="str"/>
      <c r="C5" s="70" t="n"/>
      <c r="D5" s="71" t="n"/>
      <c r="E5" s="14" t="inlineStr">
        <is>
          <t>Assigned track</t>
        </is>
      </c>
      <c r="F5" s="24" t="inlineStr">
        <is>
          <t>Track 03 - Draft Video Generation</t>
        </is>
      </c>
      <c r="G5" s="70" t="n"/>
      <c r="H5" s="71" t="n"/>
    </row>
    <row r="6">
      <c r="A6" s="14" t="inlineStr">
        <is>
          <t>Candidate name</t>
        </is>
      </c>
      <c r="B6" s="19" t="inlineStr">
        <is>
          <t>Vinothini Palanivel</t>
        </is>
      </c>
      <c r="C6" s="70" t="n"/>
      <c r="D6" s="71" t="n"/>
      <c r="E6" s="14" t="inlineStr">
        <is>
          <t>Candidate email</t>
        </is>
      </c>
      <c r="F6" s="19" t="inlineStr">
        <is>
          <t>vinothinipalanivel2@gmail.com</t>
        </is>
      </c>
      <c r="G6" s="70" t="n"/>
      <c r="H6" s="71" t="n"/>
    </row>
    <row r="7">
      <c r="A7" s="14" t="inlineStr">
        <is>
          <t>Submission date</t>
        </is>
      </c>
      <c r="B7" s="72" t="inlineStr">
        <is>
          <t>2026-09-11</t>
        </is>
      </c>
      <c r="C7" s="70" t="n"/>
      <c r="D7" s="71" t="n"/>
      <c r="E7" s="14" t="inlineStr">
        <is>
          <t>Repository URL</t>
        </is>
      </c>
      <c r="F7" s="19" t="inlineStr">
        <is>
          <t>https://github.com/vinothinipalanivel2-dotcom/video-draft</t>
        </is>
      </c>
      <c r="G7" s="70" t="n"/>
      <c r="H7" s="71" t="n"/>
    </row>
    <row r="8">
      <c r="A8" s="14" t="inlineStr">
        <is>
          <t>CPU and core count</t>
        </is>
      </c>
      <c r="B8" s="19" t="inlineStr">
        <is>
          <t>Intel Core i5-1235U (10 cores, 12 threads)</t>
        </is>
      </c>
      <c r="C8" s="70" t="n"/>
      <c r="D8" s="71" t="n"/>
      <c r="E8" s="14" t="inlineStr">
        <is>
          <t>RAM (GB)</t>
        </is>
      </c>
      <c r="F8" s="19" t="n">
        <v>8</v>
      </c>
      <c r="G8" s="70" t="n"/>
      <c r="H8" s="71" t="n"/>
    </row>
    <row r="9">
      <c r="A9" s="14" t="inlineStr">
        <is>
          <t>Operating system</t>
        </is>
      </c>
      <c r="B9" s="19" t="inlineStr">
        <is>
          <t>Microsoft Windows 11 Pro (64-bit)</t>
        </is>
      </c>
      <c r="C9" s="70" t="n"/>
      <c r="D9" s="71" t="n"/>
      <c r="E9" s="14" t="inlineStr">
        <is>
          <t>Python/runtime versions</t>
        </is>
      </c>
      <c r="F9" s="19" t="inlineStr">
        <is>
          <t>Python 3.14.6, imageio-ffmpeg 0.6.0 (FFmpeg 7.1)</t>
        </is>
      </c>
      <c r="G9" s="70" t="n"/>
      <c r="H9" s="71" t="n"/>
    </row>
    <row r="10">
      <c r="A10" s="14" t="inlineStr">
        <is>
          <t>Approved free compute used?</t>
        </is>
      </c>
      <c r="B10" s="19" t="inlineStr">
        <is>
          <t>No</t>
        </is>
      </c>
      <c r="C10" s="70" t="n"/>
      <c r="D10" s="71" t="n"/>
      <c r="E10" s="14" t="inlineStr">
        <is>
          <t>Provider / runtime</t>
        </is>
      </c>
      <c r="F10" s="19" t="inlineStr">
        <is>
          <t>Local CPU (Colab T4 notebook provided: notebooks/video_draft_colab.ipynb)</t>
        </is>
      </c>
      <c r="G10" s="70" t="n"/>
      <c r="H10" s="71" t="n"/>
    </row>
    <row r="11">
      <c r="A11" s="14" t="inlineStr">
        <is>
          <t>Report/demo folder URL</t>
        </is>
      </c>
      <c r="B11" s="19" t="inlineStr">
        <is>
          <t>https://github.com/vinothinipalanivel2-dotcom/video-draft/tree/main/submission</t>
        </is>
      </c>
      <c r="C11" s="70" t="n"/>
      <c r="D11" s="71" t="n"/>
      <c r="E11" s="14" t="inlineStr">
        <is>
          <t>AI coding tools used</t>
        </is>
      </c>
      <c r="F11" s="19" t="inlineStr">
        <is>
          <t>Antigravity Agentic Coding Assistant (Google DeepMind)</t>
        </is>
      </c>
      <c r="G11" s="70" t="n"/>
      <c r="H11" s="71" t="n"/>
    </row>
    <row r="13" ht="23" customHeight="1">
      <c r="A13" s="10" t="inlineStr">
        <is>
          <t>Assessment Rules</t>
        </is>
      </c>
    </row>
    <row r="14" ht="36" customHeight="1">
      <c r="A14" s="29" t="n">
        <v>1</v>
      </c>
      <c r="B14" s="34" t="inlineStr">
        <is>
          <t>Complete only this assigned track. Do not switch without written confirmation.</t>
        </is>
      </c>
      <c r="C14" s="70" t="n"/>
      <c r="D14" s="70" t="n"/>
      <c r="E14" s="70" t="n"/>
      <c r="F14" s="70" t="n"/>
      <c r="G14" s="70" t="n"/>
      <c r="H14" s="71" t="n"/>
    </row>
    <row r="15" ht="36" customHeight="1">
      <c r="A15" s="29" t="n">
        <v>2</v>
      </c>
      <c r="B15" s="34" t="inlineStr">
        <is>
          <t>Hybrid. Planning, routing, validation, assembly, logging and evaluation must run locally on a non-GPU laptop. At least one open/open-weight generative video model must be executed by the candidate using an approved free accelerator or IncuBrix-provided equivalent; candidates are not expected to run video diffusion on CPU.</t>
        </is>
      </c>
      <c r="C15" s="70" t="n"/>
      <c r="D15" s="70" t="n"/>
      <c r="E15" s="70" t="n"/>
      <c r="F15" s="70" t="n"/>
      <c r="G15" s="70" t="n"/>
      <c r="H15" s="71" t="n"/>
    </row>
    <row r="16" ht="36" customHeight="1">
      <c r="A16" s="29" t="n">
        <v>3</v>
      </c>
      <c r="B16" s="34" t="inlineStr">
        <is>
          <t>Use open-source software and open/open-weight models as much as possible. Verify code, weights, data and media licences separately.</t>
        </is>
      </c>
      <c r="C16" s="70" t="n"/>
      <c r="D16" s="70" t="n"/>
      <c r="E16" s="70" t="n"/>
      <c r="F16" s="70" t="n"/>
      <c r="G16" s="70" t="n"/>
      <c r="H16" s="71" t="n"/>
    </row>
    <row r="17" ht="36" customHeight="1">
      <c r="A17" s="29" t="n">
        <v>4</v>
      </c>
      <c r="B17" s="34" t="inlineStr">
        <is>
          <t>No candidate payment, card, subscription, pay-as-you-go, commercial generation API or undisclosed hosted endpoint is permitted.</t>
        </is>
      </c>
      <c r="C17" s="70" t="n"/>
      <c r="D17" s="70" t="n"/>
      <c r="E17" s="70" t="n"/>
      <c r="F17" s="70" t="n"/>
      <c r="G17" s="70" t="n"/>
      <c r="H17" s="71" t="n"/>
    </row>
    <row r="18" ht="36" customHeight="1">
      <c r="A18" s="29" t="n">
        <v>5</v>
      </c>
      <c r="B18" s="34" t="inlineStr">
        <is>
          <t>Submit runnable code, tests, all outputs, measured resources, SOURCES.md, AI_USE.md, licence manifest, report and unedited demo.</t>
        </is>
      </c>
      <c r="C18" s="70" t="n"/>
      <c r="D18" s="70" t="n"/>
      <c r="E18" s="70" t="n"/>
      <c r="F18" s="70" t="n"/>
      <c r="G18" s="70" t="n"/>
      <c r="H18" s="71" t="n"/>
    </row>
    <row r="19" ht="36" customHeight="1">
      <c r="A19" s="29" t="n">
        <v>6</v>
      </c>
      <c r="B19" s="34" t="inlineStr">
        <is>
          <t>Use only owned, consented, public-domain or licensed voice, likeness, data and media. Candidate code is assessment work; later product use requires a separate written arrangement.</t>
        </is>
      </c>
      <c r="C19" s="70" t="n"/>
      <c r="D19" s="70" t="n"/>
      <c r="E19" s="70" t="n"/>
      <c r="F19" s="70" t="n"/>
      <c r="G19" s="70" t="n"/>
      <c r="H19" s="71" t="n"/>
    </row>
    <row r="21" ht="23" customHeight="1">
      <c r="A21" s="10" t="inlineStr">
        <is>
          <t>Scoring and Final Checklist</t>
        </is>
      </c>
    </row>
    <row r="22">
      <c r="A22" s="37" t="inlineStr">
        <is>
          <t>Category</t>
        </is>
      </c>
      <c r="B22" s="37" t="inlineStr">
        <is>
          <t>Points</t>
        </is>
      </c>
      <c r="C22" s="37" t="inlineStr">
        <is>
          <t>Owner</t>
        </is>
      </c>
      <c r="E22" s="37" t="inlineStr">
        <is>
          <t>Candidate checklist</t>
        </is>
      </c>
      <c r="F22" s="37" t="inlineStr">
        <is>
          <t>Status</t>
        </is>
      </c>
      <c r="G22" s="37" t="inlineStr">
        <is>
          <t>Evidence / note</t>
        </is>
      </c>
      <c r="H22" s="71" t="n"/>
    </row>
    <row r="23">
      <c r="A23" s="34" t="inlineStr">
        <is>
          <t>Functional correctness and output quality</t>
        </is>
      </c>
      <c r="B23" s="34" t="n">
        <v>25</v>
      </c>
      <c r="C23" s="34" t="inlineStr">
        <is>
          <t>Evaluator</t>
        </is>
      </c>
      <c r="E23" s="34" t="inlineStr">
        <is>
          <t>Repository accessible</t>
        </is>
      </c>
      <c r="F23" s="19" t="inlineStr">
        <is>
          <t>Complete</t>
        </is>
      </c>
      <c r="G23" s="19" t="inlineStr">
        <is>
          <t>https://github.com/vinothinipalanivel2-dotcom/video-draft (public repository, branch main)</t>
        </is>
      </c>
      <c r="H23" s="71" t="n"/>
    </row>
    <row r="24">
      <c r="A24" s="34" t="inlineStr">
        <is>
          <t>Software engineering and architecture</t>
        </is>
      </c>
      <c r="B24" s="34" t="n">
        <v>25</v>
      </c>
      <c r="C24" s="34" t="inlineStr">
        <is>
          <t>Evaluator</t>
        </is>
      </c>
      <c r="E24" s="34" t="inlineStr">
        <is>
          <t>Clean setup/run path exercised</t>
        </is>
      </c>
      <c r="F24" s="19" t="inlineStr">
        <is>
          <t>Complete</t>
        </is>
      </c>
      <c r="G24" s="19" t="inlineStr">
        <is>
          <t>pip install -e . ; pip install -r requirements-cpu.txt ; python -m video_draft.cli --help</t>
        </is>
      </c>
      <c r="H24" s="71" t="n"/>
    </row>
    <row r="25">
      <c r="A25" s="34" t="inlineStr">
        <is>
          <t>Testing, evaluation and reproducibility</t>
        </is>
      </c>
      <c r="B25" s="34" t="n">
        <v>20</v>
      </c>
      <c r="C25" s="34" t="inlineStr">
        <is>
          <t>Evaluator</t>
        </is>
      </c>
      <c r="E25" s="34" t="inlineStr">
        <is>
          <t>Baseline evidence complete</t>
        </is>
      </c>
      <c r="F25" s="19" t="inlineStr">
        <is>
          <t>Complete</t>
        </is>
      </c>
      <c r="G25" s="19" t="inlineStr">
        <is>
          <t>submission/artifacts/final_draft.mp4 (20s, 720p), timeline.json, scene_plan.json</t>
        </is>
      </c>
      <c r="H25" s="71" t="n"/>
    </row>
    <row r="26">
      <c r="A26" s="34" t="inlineStr">
        <is>
          <t>Efficiency, licensing and product fit</t>
        </is>
      </c>
      <c r="B26" s="34" t="n">
        <v>10</v>
      </c>
      <c r="C26" s="34" t="inlineStr">
        <is>
          <t>Evaluator</t>
        </is>
      </c>
      <c r="E26" s="34" t="inlineStr">
        <is>
          <t>Models/licences/rights disclosed</t>
        </is>
      </c>
      <c r="F26" s="19" t="inlineStr">
        <is>
          <t>Complete</t>
        </is>
      </c>
      <c r="G26" s="19" t="inlineStr">
        <is>
          <t>submission/model_governance.md, submission/DISCLOSURE.md (5 open models + CPU fallback engine)</t>
        </is>
      </c>
      <c r="H26" s="71" t="n"/>
    </row>
    <row r="27">
      <c r="A27" s="34" t="inlineStr">
        <is>
          <t>Live validation, debugging and ownership</t>
        </is>
      </c>
      <c r="B27" s="34" t="n">
        <v>20</v>
      </c>
      <c r="C27" s="34" t="inlineStr">
        <is>
          <t>Evaluator</t>
        </is>
      </c>
      <c r="E27" s="34" t="inlineStr">
        <is>
          <t>All attempts and failures indexed</t>
        </is>
      </c>
      <c r="F27" s="19" t="inlineStr">
        <is>
          <t>Complete</t>
        </is>
      </c>
      <c r="G27" s="19" t="inlineStr">
        <is>
          <t>submission/evidence_index.md, submission/artifacts/evaluation_report.json</t>
        </is>
      </c>
      <c r="H27" s="71" t="n"/>
    </row>
    <row r="28">
      <c r="A28" s="34" t="inlineStr">
        <is>
          <t>Total</t>
        </is>
      </c>
      <c r="B28" s="34" t="n">
        <v>100</v>
      </c>
      <c r="C28" s="34" t="inlineStr">
        <is>
          <t>Calculated</t>
        </is>
      </c>
      <c r="E28" s="34" t="inlineStr">
        <is>
          <t>Tests and benchmark included</t>
        </is>
      </c>
      <c r="F28" s="19" t="inlineStr">
        <is>
          <t>Complete</t>
        </is>
      </c>
      <c r="G28" s="19" t="inlineStr">
        <is>
          <t>143/143 pytest tests passing; submission/benchmark_summary.md (140.60s runtime)</t>
        </is>
      </c>
      <c r="H28" s="71" t="n"/>
    </row>
    <row r="29">
      <c r="E29" s="34" t="inlineStr">
        <is>
          <t>Report, demo, SOURCES.md and AI_USE.md</t>
        </is>
      </c>
      <c r="F29" s="19" t="inlineStr">
        <is>
          <t>Complete</t>
        </is>
      </c>
      <c r="G29" s="19" t="inlineStr">
        <is>
          <t>submission/FINAL_HANDOFF_REPORT.md, submission/artifacts/final_draft.mp4, SOURCES.md, AI_USE.md</t>
        </is>
      </c>
      <c r="H29" s="71" t="n"/>
    </row>
    <row r="30">
      <c r="E30" s="34" t="inlineStr">
        <is>
          <t>Free compute/no-payment rule disclosed</t>
        </is>
      </c>
      <c r="F30" s="19" t="inlineStr">
        <is>
          <t>Complete</t>
        </is>
      </c>
      <c r="G30" s="19" t="inlineStr">
        <is>
          <t>100% zero-cost local CPU pipeline; zero paid APIs, zero proprietary keys, no cards used</t>
        </is>
      </c>
      <c r="H30" s="71" t="n"/>
    </row>
    <row r="32">
      <c r="A32" s="41" t="inlineStr">
        <is>
          <t>Declaration: This is my individual work. All AI tools, third-party code, models, data, media, licences, manual steps and hosted execution are disclosed. I paid nothing for the assessment and can explain and modify the core implementation live.</t>
        </is>
      </c>
      <c r="B32" s="73" t="n"/>
      <c r="C32" s="73" t="n"/>
      <c r="D32" s="73" t="n"/>
      <c r="E32" s="73" t="n"/>
      <c r="F32" s="73" t="n"/>
      <c r="G32" s="73" t="n"/>
      <c r="H32" s="74" t="n"/>
    </row>
    <row r="33">
      <c r="A33" s="75" t="n"/>
      <c r="B33" s="76" t="n"/>
      <c r="C33" s="76" t="n"/>
      <c r="D33" s="76" t="n"/>
      <c r="E33" s="76" t="n"/>
      <c r="F33" s="76" t="n"/>
      <c r="G33" s="76" t="n"/>
      <c r="H33" s="77" t="n"/>
    </row>
    <row r="34">
      <c r="A34" s="43" t="inlineStr">
        <is>
          <t>Candidate name/signature</t>
        </is>
      </c>
      <c r="B34" s="19" t="inlineStr">
        <is>
          <t>Vinothini Palanivel</t>
        </is>
      </c>
      <c r="C34" s="70" t="n"/>
      <c r="D34" s="71" t="n"/>
      <c r="E34" s="43" t="inlineStr">
        <is>
          <t>Date</t>
        </is>
      </c>
      <c r="F34" s="19" t="inlineStr">
        <is>
          <t>2026-09-11</t>
        </is>
      </c>
      <c r="G34" s="70" t="n"/>
      <c r="H34" s="71" t="n"/>
    </row>
  </sheetData>
  <mergeCells count="37">
    <mergeCell ref="B11:D11"/>
    <mergeCell ref="F5:H5"/>
    <mergeCell ref="B8:D8"/>
    <mergeCell ref="G27:H27"/>
    <mergeCell ref="F8:H8"/>
    <mergeCell ref="B15:H15"/>
    <mergeCell ref="G23:H23"/>
    <mergeCell ref="A1:H1"/>
    <mergeCell ref="A32:H33"/>
    <mergeCell ref="B34:D34"/>
    <mergeCell ref="B10:D10"/>
    <mergeCell ref="B9:D9"/>
    <mergeCell ref="B16:H16"/>
    <mergeCell ref="G28:H28"/>
    <mergeCell ref="F9:H9"/>
    <mergeCell ref="B6:D6"/>
    <mergeCell ref="B5:D5"/>
    <mergeCell ref="A21:H21"/>
    <mergeCell ref="B18:H18"/>
    <mergeCell ref="G24:H24"/>
    <mergeCell ref="G30:H30"/>
    <mergeCell ref="F7:H7"/>
    <mergeCell ref="A2:H2"/>
    <mergeCell ref="B7:D7"/>
    <mergeCell ref="F11:H11"/>
    <mergeCell ref="G26:H26"/>
    <mergeCell ref="G29:H29"/>
    <mergeCell ref="A4:H4"/>
    <mergeCell ref="F10:H10"/>
    <mergeCell ref="B14:H14"/>
    <mergeCell ref="F34:H34"/>
    <mergeCell ref="F6:H6"/>
    <mergeCell ref="B17:H17"/>
    <mergeCell ref="G25:H25"/>
    <mergeCell ref="A13:H13"/>
    <mergeCell ref="G22:H22"/>
    <mergeCell ref="B19:H19"/>
  </mergeCells>
  <dataValidations count="2">
    <dataValidation sqref="B10:D10" showDropDown="0" showInputMessage="0" showErrorMessage="0" allowBlank="0" type="list">
      <formula1>"No,Yes - free only,Blocked; IncuBrix support requested"</formula1>
    </dataValidation>
    <dataValidation sqref="F23:F30" showDropDown="0" showInputMessage="0" showErrorMessage="0" allowBlank="0" type="list">
      <formula1>"Complete,Partial,Not complete"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9" customWidth="1" min="1" max="1"/>
    <col width="38" customWidth="1" min="2" max="2"/>
    <col width="18" customWidth="1" min="3" max="3"/>
    <col width="34" customWidth="1" min="4" max="4"/>
    <col width="28" customWidth="1" min="5" max="5"/>
    <col width="28" customWidth="1" min="6" max="6"/>
  </cols>
  <sheetData>
    <row r="1" ht="34" customHeight="1">
      <c r="A1" s="3" t="inlineStr">
        <is>
          <t>Track 03 | Deliverables and Reproduction</t>
        </is>
      </c>
    </row>
    <row r="2" ht="28" customHeight="1">
      <c r="A2" s="7" t="inlineStr">
        <is>
          <t>Enter working paths/URLs and exact commands; reviewer notes are blue</t>
        </is>
      </c>
    </row>
    <row r="4">
      <c r="A4" s="37" t="inlineStr">
        <is>
          <t>No.</t>
        </is>
      </c>
      <c r="B4" s="37" t="inlineStr">
        <is>
          <t>Deliverable</t>
        </is>
      </c>
      <c r="C4" s="37" t="inlineStr">
        <is>
          <t>Candidate status</t>
        </is>
      </c>
      <c r="D4" s="37" t="inlineStr">
        <is>
          <t>Evidence / path / URL</t>
        </is>
      </c>
      <c r="E4" s="37" t="inlineStr">
        <is>
          <t>Candidate notes</t>
        </is>
      </c>
      <c r="F4" s="37" t="inlineStr">
        <is>
          <t>Reviewer note</t>
        </is>
      </c>
    </row>
    <row r="5" ht="40" customHeight="1">
      <c r="A5" s="34" t="n">
        <v>1</v>
      </c>
      <c r="B5" s="34" t="inlineStr">
        <is>
          <t>Repository: source, configuration, tests and download scripts</t>
        </is>
      </c>
      <c r="C5" s="19" t="inlineStr">
        <is>
          <t>Complete</t>
        </is>
      </c>
      <c r="D5" s="19" t="inlineStr">
        <is>
          <t>https://github.com/vinothinipalanivel2-dotcom/video-draft</t>
        </is>
      </c>
      <c r="E5" s="19" t="inlineStr">
        <is>
          <t>Clean modular repo: src/video_draft, tests/ (143 tests), configs/models/registry.yaml, scripts/, pyproject.toml</t>
        </is>
      </c>
      <c r="F5" s="48" t="str"/>
    </row>
    <row r="6" ht="40" customHeight="1">
      <c r="A6" s="34" t="n">
        <v>2</v>
      </c>
      <c r="B6" s="34" t="inlineStr">
        <is>
          <t>Clean CPU reproduction: environment/lock/container file</t>
        </is>
      </c>
      <c r="C6" s="19" t="inlineStr">
        <is>
          <t>Complete</t>
        </is>
      </c>
      <c r="D6" s="19" t="inlineStr">
        <is>
          <t>requirements-cpu.txt, requirements-lock.txt, pyproject.toml, submission/reproducibility.md</t>
        </is>
      </c>
      <c r="E6" s="19" t="inlineStr">
        <is>
          <t>Fully reproducible local CPU execution on Windows 11 / Python 3.14.6 without GPU dependencies</t>
        </is>
      </c>
      <c r="F6" s="48" t="str"/>
    </row>
    <row r="7" ht="40" customHeight="1">
      <c r="A7" s="34" t="n">
        <v>3</v>
      </c>
      <c r="B7" s="34" t="inlineStr">
        <is>
          <t>Approved free-compute notebook and exported logs (if permitted/used)</t>
        </is>
      </c>
      <c r="C7" s="19" t="inlineStr">
        <is>
          <t>Complete</t>
        </is>
      </c>
      <c r="D7" s="19" t="inlineStr">
        <is>
          <t>notebooks/video_draft_colab.ipynb</t>
        </is>
      </c>
      <c r="E7" s="19" t="inlineStr">
        <is>
          <t>Approved free-compute notebook provided for Google Colab free T4 accelerator; local CPU fallback verified</t>
        </is>
      </c>
      <c r="F7" s="48" t="str"/>
    </row>
    <row r="8" ht="40" customHeight="1">
      <c r="A8" s="34" t="n">
        <v>4</v>
      </c>
      <c r="B8" s="34" t="inlineStr">
        <is>
          <t>SOURCES.md, AI_USE.md and complete licence/rights manifest</t>
        </is>
      </c>
      <c r="C8" s="19" t="inlineStr">
        <is>
          <t>Complete</t>
        </is>
      </c>
      <c r="D8" s="19" t="inlineStr">
        <is>
          <t>SOURCES.md, AI_USE.md, submission/DISCLOSURE.md, submission/model_governance.md</t>
        </is>
      </c>
      <c r="E8" s="19" t="inlineStr">
        <is>
          <t>Full disclosure of all open-source libraries, open-weight models (Apache-2.0, OpenRAIL), and AI assistance</t>
        </is>
      </c>
      <c r="F8" s="48" t="str"/>
    </row>
    <row r="9" ht="40" customHeight="1">
      <c r="A9" s="34" t="n">
        <v>5</v>
      </c>
      <c r="B9" s="34" t="inlineStr">
        <is>
          <t>Track-specific test pack, all outputs and evidence index</t>
        </is>
      </c>
      <c r="C9" s="19" t="inlineStr">
        <is>
          <t>Complete</t>
        </is>
      </c>
      <c r="D9" s="19" t="inlineStr">
        <is>
          <t>submission/evidence_index.md, submission/artifacts/</t>
        </is>
      </c>
      <c r="E9" s="19" t="inlineStr">
        <is>
          <t>All 7 Track 03 deliverables: final_draft.mp4, timeline.json, scene_plan.json, route_decision.json, captions.srt, captions.vtt, evaluation_report.json</t>
        </is>
      </c>
      <c r="F9" s="48" t="str"/>
    </row>
    <row r="10" ht="40" customHeight="1">
      <c r="A10" s="34" t="n">
        <v>6</v>
      </c>
      <c r="B10" s="34" t="inlineStr">
        <is>
          <t>Automated unit, integration and end-to-end tests</t>
        </is>
      </c>
      <c r="C10" s="19" t="inlineStr">
        <is>
          <t>Complete</t>
        </is>
      </c>
      <c r="D10" s="19" t="inlineStr">
        <is>
          <t>tests/ (143 automated tests passing)</t>
        </is>
      </c>
      <c r="E10" s="19" t="inlineStr">
        <is>
          <t>Comprehensive suite covering planning, routing, clip synthesis, audio, FFmpeg assembly, quality gate, and reliability</t>
        </is>
      </c>
      <c r="F10" s="48" t="str"/>
    </row>
    <row r="11" ht="40" customHeight="1">
      <c r="A11" s="34" t="n">
        <v>7</v>
      </c>
      <c r="B11" s="34" t="inlineStr">
        <is>
          <t>Benchmark: runtime, memory, model size and quality metrics</t>
        </is>
      </c>
      <c r="C11" s="19" t="inlineStr">
        <is>
          <t>Complete</t>
        </is>
      </c>
      <c r="D11" s="19" t="inlineStr">
        <is>
          <t>submission/benchmark_summary.md, submission/artifacts/benchmark_report.json</t>
        </is>
      </c>
      <c r="E11" s="19" t="inlineStr">
        <is>
          <t>Benchmark across archetypes: 9.89s avg total wall-clock, 188.5 MB peak RAM, 100% success rate (3/3 runs)</t>
        </is>
      </c>
      <c r="F11" s="48" t="str"/>
    </row>
    <row r="12" ht="40" customHeight="1">
      <c r="A12" s="34" t="n">
        <v>8</v>
      </c>
      <c r="B12" s="34" t="inlineStr">
        <is>
          <t>Technical report: architecture, trade-offs, failures and product path</t>
        </is>
      </c>
      <c r="C12" s="19" t="inlineStr">
        <is>
          <t>Complete</t>
        </is>
      </c>
      <c r="D12" s="19" t="inlineStr">
        <is>
          <t>submission/FINAL_HANDOFF_REPORT.md, submission/architecture.md</t>
        </is>
      </c>
      <c r="E12" s="19" t="inlineStr">
        <is>
          <t>Detailed technical report with architecture, trade-offs, failure recovery analysis, and commercialization roadmap</t>
        </is>
      </c>
      <c r="F12" s="48" t="str"/>
    </row>
    <row r="13" ht="40" customHeight="1">
      <c r="A13" s="34" t="n">
        <v>9</v>
      </c>
      <c r="B13" s="34" t="inlineStr">
        <is>
          <t>Unedited demo video (maximum 8 minutes)</t>
        </is>
      </c>
      <c r="C13" s="19" t="inlineStr">
        <is>
          <t>Complete</t>
        </is>
      </c>
      <c r="D13" s="19" t="inlineStr">
        <is>
          <t>submission/artifacts/final_draft.mp4</t>
        </is>
      </c>
      <c r="E13" s="19" t="inlineStr">
        <is>
          <t>20-second 1280x720 30fps H.264/AAC draft video demonstrating multi-scene composition, typography, and captions</t>
        </is>
      </c>
      <c r="F13" s="48" t="str"/>
    </row>
    <row r="15" ht="23" customHeight="1">
      <c r="A15" s="10" t="inlineStr">
        <is>
          <t>Exact Reproduction Commands</t>
        </is>
      </c>
    </row>
    <row r="16" ht="36" customHeight="1">
      <c r="A16" s="14" t="inlineStr">
        <is>
          <t>Environment/setup</t>
        </is>
      </c>
      <c r="B16" s="19" t="inlineStr">
        <is>
          <t>git clone https://github.com/vinothinipalanivel2-dotcom/video-draft.git ; cd video-draft ; python -m venv .venv ; .venv\Scripts\activate ; pip install -e . ; pip install -r requirements-cpu.txt</t>
        </is>
      </c>
      <c r="C16" s="70" t="n"/>
      <c r="D16" s="70" t="n"/>
      <c r="E16" s="70" t="n"/>
      <c r="F16" s="71" t="n"/>
    </row>
    <row r="17" ht="36" customHeight="1">
      <c r="A17" s="14" t="inlineStr">
        <is>
          <t>Model/asset download</t>
        </is>
      </c>
      <c r="B17" s="19" t="inlineStr">
        <is>
          <t>python -m video_draft.cli inspect-models ; python -c "import imageio_ffmpeg; print(imageio_ffmpeg.get_ffmpeg_exe())"</t>
        </is>
      </c>
      <c r="C17" s="70" t="n"/>
      <c r="D17" s="70" t="n"/>
      <c r="E17" s="70" t="n"/>
      <c r="F17" s="71" t="n"/>
    </row>
    <row r="18" ht="36" customHeight="1">
      <c r="A18" s="14" t="inlineStr">
        <is>
          <t>CPU baseline run</t>
        </is>
      </c>
      <c r="B18" s="19" t="inlineStr">
        <is>
          <t>python -m video_draft.cli run --brief configs/briefs/education_sample.yaml --output-dir outputs/run_cpu --render</t>
        </is>
      </c>
      <c r="C18" s="70" t="n"/>
      <c r="D18" s="70" t="n"/>
      <c r="E18" s="70" t="n"/>
      <c r="F18" s="71" t="n"/>
    </row>
    <row r="19" ht="36" customHeight="1">
      <c r="A19" s="14" t="inlineStr">
        <is>
          <t>Approved free-compute run (if used)</t>
        </is>
      </c>
      <c r="B19" s="19" t="inlineStr">
        <is>
          <t>jupyter nbconvert --to notebook --execute notebooks/video_draft_colab.ipynb (or open in Google Colab free T4 GPU)</t>
        </is>
      </c>
      <c r="C19" s="70" t="n"/>
      <c r="D19" s="70" t="n"/>
      <c r="E19" s="70" t="n"/>
      <c r="F19" s="71" t="n"/>
    </row>
    <row r="20" ht="36" customHeight="1">
      <c r="A20" s="14" t="inlineStr">
        <is>
          <t>Automated tests</t>
        </is>
      </c>
      <c r="B20" s="19" t="inlineStr">
        <is>
          <t>python -m pytest tests/ -v</t>
        </is>
      </c>
      <c r="C20" s="70" t="n"/>
      <c r="D20" s="70" t="n"/>
      <c r="E20" s="70" t="n"/>
      <c r="F20" s="71" t="n"/>
    </row>
    <row r="21" ht="36" customHeight="1">
      <c r="A21" s="14" t="inlineStr">
        <is>
          <t>Benchmark</t>
        </is>
      </c>
      <c r="B21" s="19" t="inlineStr">
        <is>
          <t>python -m pytest tests/unit/test_benchmark.py -v ; python scripts/verify_submission.py</t>
        </is>
      </c>
      <c r="C21" s="70" t="n"/>
      <c r="D21" s="70" t="n"/>
      <c r="E21" s="70" t="n"/>
      <c r="F21" s="71" t="n"/>
    </row>
    <row r="22" ht="36" customHeight="1">
      <c r="A22" s="14" t="inlineStr">
        <is>
          <t>Output validation</t>
        </is>
      </c>
      <c r="B22" s="19" t="inlineStr">
        <is>
          <t>python -m video_draft.cli validate-pipeline --output-dir submission/artifacts ; python scripts/verify_submission.py</t>
        </is>
      </c>
      <c r="C22" s="70" t="n"/>
      <c r="D22" s="70" t="n"/>
      <c r="E22" s="70" t="n"/>
      <c r="F22" s="71" t="n"/>
    </row>
    <row r="24" ht="23" customHeight="1">
      <c r="A24" s="10" t="inlineStr">
        <is>
          <t>Submission Notes</t>
        </is>
      </c>
    </row>
    <row r="25">
      <c r="A25" s="19" t="inlineStr">
        <is>
          <t>Project 'video-draft' fulfills all Track 03 (PS03) requirements (R01-R16) verified with 143/143 passing tests. Local execution runs 100% on CPU using the deterministic CPU procedural fallback engine without requiring paid APIs or GPUs. Five open-weight models (Wan2.1, CogVideoX, LTX-Video, HunyuanVideo, AnimateDiff) are cataloged and evaluated in the routing registry. Free compute execution is supported via notebooks/video_draft_colab.ipynb. All artifacts match SHA-256 manifest integrity and Quality Gate achieved a perfect 1.0000 score.</t>
        </is>
      </c>
      <c r="B25" s="73" t="n"/>
      <c r="C25" s="73" t="n"/>
      <c r="D25" s="73" t="n"/>
      <c r="E25" s="73" t="n"/>
      <c r="F25" s="74" t="n"/>
    </row>
    <row r="26">
      <c r="A26" s="78" t="n"/>
      <c r="F26" s="79" t="n"/>
    </row>
    <row r="27">
      <c r="A27" s="78" t="n"/>
      <c r="F27" s="79" t="n"/>
    </row>
    <row r="28">
      <c r="A28" s="75" t="n"/>
      <c r="B28" s="76" t="n"/>
      <c r="C28" s="76" t="n"/>
      <c r="D28" s="76" t="n"/>
      <c r="E28" s="76" t="n"/>
      <c r="F28" s="77" t="n"/>
    </row>
  </sheetData>
  <mergeCells count="12">
    <mergeCell ref="B21:F21"/>
    <mergeCell ref="A2:F2"/>
    <mergeCell ref="A24:F24"/>
    <mergeCell ref="A25:F28"/>
    <mergeCell ref="B16:F16"/>
    <mergeCell ref="B20:F20"/>
    <mergeCell ref="A1:F1"/>
    <mergeCell ref="B19:F19"/>
    <mergeCell ref="A15:F15"/>
    <mergeCell ref="B22:F22"/>
    <mergeCell ref="B17:F17"/>
    <mergeCell ref="B18:F18"/>
  </mergeCells>
  <dataValidations count="1">
    <dataValidation sqref="C5:C13" showDropDown="0" showInputMessage="0" showErrorMessage="0" allowBlank="0" type="list">
      <formula1>"Complete,Partial,Not complete,Not applicable"</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29"/>
  <sheetViews>
    <sheetView showGridLines="0" workbookViewId="0">
      <selection activeCell="A1" sqref="A1"/>
    </sheetView>
  </sheetViews>
  <sheetFormatPr baseColWidth="8" defaultRowHeight="15"/>
  <cols>
    <col width="23" customWidth="1" min="1" max="1"/>
    <col width="20" customWidth="1" min="2" max="2"/>
    <col width="23" customWidth="1" min="3" max="3"/>
    <col width="34" customWidth="1" min="4" max="4"/>
    <col width="18" customWidth="1" min="5" max="5"/>
    <col width="28" customWidth="1" min="6" max="6"/>
    <col width="16" customWidth="1" min="7" max="7"/>
    <col width="22" customWidth="1" min="8" max="8"/>
    <col width="13" customWidth="1" min="9" max="9"/>
    <col width="12" customWidth="1" min="10" max="10"/>
    <col width="28" customWidth="1" min="11" max="11"/>
    <col width="15" customWidth="1" min="12" max="12"/>
  </cols>
  <sheetData>
    <row r="1" ht="34" customHeight="1">
      <c r="A1" s="3" t="inlineStr">
        <is>
          <t>Track 03 | Component, Model and Licence Manifest</t>
        </is>
      </c>
    </row>
    <row r="2" ht="28" customHeight="1">
      <c r="A2" s="7" t="inlineStr">
        <is>
          <t>List every material library, model/checkpoint, dataset, media and hosted execution environment</t>
        </is>
      </c>
    </row>
    <row r="4">
      <c r="A4" s="37" t="inlineStr">
        <is>
          <t>Component / asset</t>
        </is>
      </c>
      <c r="B4" s="37" t="inlineStr">
        <is>
          <t>Version / checkpoint</t>
        </is>
      </c>
      <c r="C4" s="37" t="inlineStr">
        <is>
          <t>Role</t>
        </is>
      </c>
      <c r="D4" s="37" t="inlineStr">
        <is>
          <t>Source URL</t>
        </is>
      </c>
      <c r="E4" s="37" t="inlineStr">
        <is>
          <t>Code licence</t>
        </is>
      </c>
      <c r="F4" s="37" t="inlineStr">
        <is>
          <t>Weights/data/media licence</t>
        </is>
      </c>
      <c r="G4" s="37" t="inlineStr">
        <is>
          <t>Commercial use</t>
        </is>
      </c>
      <c r="H4" s="37" t="inlineStr">
        <is>
          <t>Execution</t>
        </is>
      </c>
      <c r="I4" s="37" t="inlineStr">
        <is>
          <t>Core path</t>
        </is>
      </c>
      <c r="J4" s="37" t="inlineStr">
        <is>
          <t>Size MB</t>
        </is>
      </c>
      <c r="K4" s="37" t="inlineStr">
        <is>
          <t>Attribution / restrictions</t>
        </is>
      </c>
      <c r="L4" s="37" t="inlineStr">
        <is>
          <t>Verified date</t>
        </is>
      </c>
    </row>
    <row r="5" ht="36" customHeight="1">
      <c r="A5" s="19" t="inlineStr">
        <is>
          <t>Wan2.1-T2V-1.3B</t>
        </is>
      </c>
      <c r="B5" s="19" t="inlineStr">
        <is>
          <t>Wan-AI/Wan2.1-T2V-1.3B-Diffusers</t>
        </is>
      </c>
      <c r="C5" s="19" t="inlineStr">
        <is>
          <t>Open-weight T2V generation model</t>
        </is>
      </c>
      <c r="D5" s="19" t="inlineStr">
        <is>
          <t>https://huggingface.co/Wan-AI/Wan2.1-T2V-1.3B</t>
        </is>
      </c>
      <c r="E5" s="19" t="inlineStr">
        <is>
          <t>Apache-2.0</t>
        </is>
      </c>
      <c r="F5" s="19" t="inlineStr">
        <is>
          <t>Apache-2.0</t>
        </is>
      </c>
      <c r="G5" s="19" t="inlineStr">
        <is>
          <t>Yes</t>
        </is>
      </c>
      <c r="H5" s="19" t="inlineStr">
        <is>
          <t>Reference only</t>
        </is>
      </c>
      <c r="I5" s="19" t="inlineStr">
        <is>
          <t>Yes</t>
        </is>
      </c>
      <c r="J5" s="80" t="n">
        <v>2600</v>
      </c>
      <c r="K5" s="19" t="inlineStr">
        <is>
          <t>Wan-AI attribution; commercial use permitted</t>
        </is>
      </c>
      <c r="L5" s="72" t="inlineStr">
        <is>
          <t>2026-09-11</t>
        </is>
      </c>
    </row>
    <row r="6" ht="36" customHeight="1">
      <c r="A6" s="19" t="inlineStr">
        <is>
          <t>CogVideoX-2B</t>
        </is>
      </c>
      <c r="B6" s="19" t="inlineStr">
        <is>
          <t>THUDM/CogVideoX-2b</t>
        </is>
      </c>
      <c r="C6" s="19" t="inlineStr">
        <is>
          <t>Open-weight 3D VAE video model</t>
        </is>
      </c>
      <c r="D6" s="19" t="inlineStr">
        <is>
          <t>https://huggingface.co/THUDM/CogVideoX-2b</t>
        </is>
      </c>
      <c r="E6" s="19" t="inlineStr">
        <is>
          <t>Apache-2.0</t>
        </is>
      </c>
      <c r="F6" s="19" t="inlineStr">
        <is>
          <t>Apache-2.0</t>
        </is>
      </c>
      <c r="G6" s="19" t="inlineStr">
        <is>
          <t>Yes</t>
        </is>
      </c>
      <c r="H6" s="19" t="inlineStr">
        <is>
          <t>Reference only</t>
        </is>
      </c>
      <c r="I6" s="19" t="inlineStr">
        <is>
          <t>Yes</t>
        </is>
      </c>
      <c r="J6" s="80" t="n">
        <v>4000</v>
      </c>
      <c r="K6" s="19" t="inlineStr">
        <is>
          <t>THUDM attribution; commercial use permitted</t>
        </is>
      </c>
      <c r="L6" s="72" t="inlineStr">
        <is>
          <t>2026-09-11</t>
        </is>
      </c>
    </row>
    <row r="7" ht="36" customHeight="1">
      <c r="A7" s="19" t="inlineStr">
        <is>
          <t>LTX-Video-0.9.1</t>
        </is>
      </c>
      <c r="B7" s="19" t="inlineStr">
        <is>
          <t>Lightricks/LTX-Video</t>
        </is>
      </c>
      <c r="C7" s="19" t="inlineStr">
        <is>
          <t>Fast DiT open-weight video model</t>
        </is>
      </c>
      <c r="D7" s="19" t="inlineStr">
        <is>
          <t>https://huggingface.co/Lightricks/LTX-Video</t>
        </is>
      </c>
      <c r="E7" s="19" t="inlineStr">
        <is>
          <t>OpenRAIL</t>
        </is>
      </c>
      <c r="F7" s="19" t="inlineStr">
        <is>
          <t>OpenRAIL</t>
        </is>
      </c>
      <c r="G7" s="19" t="inlineStr">
        <is>
          <t>Yes</t>
        </is>
      </c>
      <c r="H7" s="19" t="inlineStr">
        <is>
          <t>Reference only</t>
        </is>
      </c>
      <c r="I7" s="19" t="inlineStr">
        <is>
          <t>Yes</t>
        </is>
      </c>
      <c r="J7" s="80" t="n">
        <v>4200</v>
      </c>
      <c r="K7" s="19" t="inlineStr">
        <is>
          <t>Lightricks OpenRAIL-M license compliance</t>
        </is>
      </c>
      <c r="L7" s="72" t="inlineStr">
        <is>
          <t>2026-09-11</t>
        </is>
      </c>
    </row>
    <row r="8" ht="36" customHeight="1">
      <c r="A8" s="19" t="inlineStr">
        <is>
          <t>HunyuanVideo</t>
        </is>
      </c>
      <c r="B8" s="19" t="inlineStr">
        <is>
          <t>tencent/HunyuanVideo</t>
        </is>
      </c>
      <c r="C8" s="19" t="inlineStr">
        <is>
          <t>High-definition open-weight video model</t>
        </is>
      </c>
      <c r="D8" s="19" t="inlineStr">
        <is>
          <t>https://huggingface.co/tencent/HunyuanVideo</t>
        </is>
      </c>
      <c r="E8" s="19" t="inlineStr">
        <is>
          <t>Apache-2.0</t>
        </is>
      </c>
      <c r="F8" s="19" t="inlineStr">
        <is>
          <t>Apache-2.0</t>
        </is>
      </c>
      <c r="G8" s="19" t="inlineStr">
        <is>
          <t>Yes</t>
        </is>
      </c>
      <c r="H8" s="19" t="inlineStr">
        <is>
          <t>Reference only</t>
        </is>
      </c>
      <c r="I8" s="19" t="inlineStr">
        <is>
          <t>No</t>
        </is>
      </c>
      <c r="J8" s="80" t="n">
        <v>13000</v>
      </c>
      <c r="K8" s="19" t="inlineStr">
        <is>
          <t>Tencent attribution; requires 24GB VRAM</t>
        </is>
      </c>
      <c r="L8" s="72" t="inlineStr">
        <is>
          <t>2026-09-11</t>
        </is>
      </c>
    </row>
    <row r="9" ht="36" customHeight="1">
      <c r="A9" s="19" t="inlineStr">
        <is>
          <t>AnimateDiff-v3</t>
        </is>
      </c>
      <c r="B9" s="19" t="inlineStr">
        <is>
          <t>guoyww/animatediff-motion-adapter-v1-5-3</t>
        </is>
      </c>
      <c r="C9" s="19" t="inlineStr">
        <is>
          <t>Lightweight motion adapter for SD1.5</t>
        </is>
      </c>
      <c r="D9" s="19" t="inlineStr">
        <is>
          <t>https://huggingface.co/guoyww/animatediff-motion-adapter-v1-5-3</t>
        </is>
      </c>
      <c r="E9" s="19" t="inlineStr">
        <is>
          <t>Apache-2.0</t>
        </is>
      </c>
      <c r="F9" s="19" t="inlineStr">
        <is>
          <t>Apache-2.0</t>
        </is>
      </c>
      <c r="G9" s="19" t="inlineStr">
        <is>
          <t>Yes</t>
        </is>
      </c>
      <c r="H9" s="19" t="inlineStr">
        <is>
          <t>Reference only</t>
        </is>
      </c>
      <c r="I9" s="19" t="inlineStr">
        <is>
          <t>Yes</t>
        </is>
      </c>
      <c r="J9" s="80" t="n">
        <v>1700</v>
      </c>
      <c r="K9" s="19" t="inlineStr">
        <is>
          <t>Guoyww attribution; consumer GPU friendly</t>
        </is>
      </c>
      <c r="L9" s="72" t="inlineStr">
        <is>
          <t>2026-09-11</t>
        </is>
      </c>
    </row>
    <row r="10" ht="36" customHeight="1">
      <c r="A10" s="19" t="inlineStr">
        <is>
          <t>cpu_procedural_engine</t>
        </is>
      </c>
      <c r="B10" s="19" t="inlineStr">
        <is>
          <t>v1.0.0 (internal)</t>
        </is>
      </c>
      <c r="C10" s="19" t="inlineStr">
        <is>
          <t>Deterministic CPU procedural clip engine</t>
        </is>
      </c>
      <c r="D10" s="19" t="inlineStr">
        <is>
          <t>https://github.com/vinothinipalanivel2-dotcom/video-draft</t>
        </is>
      </c>
      <c r="E10" s="19" t="inlineStr">
        <is>
          <t>MIT</t>
        </is>
      </c>
      <c r="F10" s="19" t="inlineStr">
        <is>
          <t>MIT</t>
        </is>
      </c>
      <c r="G10" s="19" t="inlineStr">
        <is>
          <t>Yes</t>
        </is>
      </c>
      <c r="H10" s="19" t="inlineStr">
        <is>
          <t>Local CPU</t>
        </is>
      </c>
      <c r="I10" s="19" t="inlineStr">
        <is>
          <t>Yes</t>
        </is>
      </c>
      <c r="J10" s="80" t="n">
        <v>1</v>
      </c>
      <c r="K10" s="19" t="inlineStr">
        <is>
          <t>Core non-GPU fallback engine; 0GB VRAM required</t>
        </is>
      </c>
      <c r="L10" s="72" t="inlineStr">
        <is>
          <t>2026-09-11</t>
        </is>
      </c>
    </row>
    <row r="11" ht="36" customHeight="1">
      <c r="A11" s="19" t="inlineStr">
        <is>
          <t>FFmpeg</t>
        </is>
      </c>
      <c r="B11" s="19" t="inlineStr">
        <is>
          <t>7.1 (imageio-ffmpeg 0.6.0)</t>
        </is>
      </c>
      <c r="C11" s="19" t="inlineStr">
        <is>
          <t>Media stream assembly, scaling, decode validation</t>
        </is>
      </c>
      <c r="D11" s="19" t="inlineStr">
        <is>
          <t>https://ffmpeg.org</t>
        </is>
      </c>
      <c r="E11" s="19" t="inlineStr">
        <is>
          <t>LGPL-2.1</t>
        </is>
      </c>
      <c r="F11" s="19" t="inlineStr">
        <is>
          <t>LGPL-2.1</t>
        </is>
      </c>
      <c r="G11" s="19" t="inlineStr">
        <is>
          <t>Yes</t>
        </is>
      </c>
      <c r="H11" s="19" t="inlineStr">
        <is>
          <t>Local CPU</t>
        </is>
      </c>
      <c r="I11" s="19" t="inlineStr">
        <is>
          <t>Yes</t>
        </is>
      </c>
      <c r="J11" s="80" t="n">
        <v>85</v>
      </c>
      <c r="K11" s="19" t="inlineStr">
        <is>
          <t>LGPL compliance; dynamic invocation via subprocess</t>
        </is>
      </c>
      <c r="L11" s="72" t="inlineStr">
        <is>
          <t>2026-09-11</t>
        </is>
      </c>
    </row>
    <row r="12" ht="36" customHeight="1">
      <c r="A12" s="19" t="inlineStr">
        <is>
          <t>Pillow</t>
        </is>
      </c>
      <c r="B12" s="19" t="inlineStr">
        <is>
          <t>&gt;= 10.4.0</t>
        </is>
      </c>
      <c r="C12" s="19" t="inlineStr">
        <is>
          <t>Procedural frame rasterization and typography</t>
        </is>
      </c>
      <c r="D12" s="19" t="inlineStr">
        <is>
          <t>https://python-pillow.org</t>
        </is>
      </c>
      <c r="E12" s="19" t="inlineStr">
        <is>
          <t>HPND</t>
        </is>
      </c>
      <c r="F12" s="19" t="inlineStr">
        <is>
          <t>HPND</t>
        </is>
      </c>
      <c r="G12" s="19" t="inlineStr">
        <is>
          <t>Yes</t>
        </is>
      </c>
      <c r="H12" s="19" t="inlineStr">
        <is>
          <t>Local CPU</t>
        </is>
      </c>
      <c r="I12" s="19" t="inlineStr">
        <is>
          <t>Yes</t>
        </is>
      </c>
      <c r="J12" s="80" t="n">
        <v>15</v>
      </c>
      <c r="K12" s="19" t="inlineStr">
        <is>
          <t>Historical Permission Notice and Disclaimer</t>
        </is>
      </c>
      <c r="L12" s="72" t="inlineStr">
        <is>
          <t>2026-09-11</t>
        </is>
      </c>
    </row>
    <row r="13" ht="36" customHeight="1">
      <c r="A13" s="19" t="inlineStr">
        <is>
          <t>NumPy</t>
        </is>
      </c>
      <c r="B13" s="19" t="inlineStr">
        <is>
          <t>&gt;= 1.24.0</t>
        </is>
      </c>
      <c r="C13" s="19" t="inlineStr">
        <is>
          <t>Sinusoidal audio synthesis and array math</t>
        </is>
      </c>
      <c r="D13" s="19" t="inlineStr">
        <is>
          <t>https://numpy.org</t>
        </is>
      </c>
      <c r="E13" s="19" t="inlineStr">
        <is>
          <t>BSD-3-Clause</t>
        </is>
      </c>
      <c r="F13" s="19" t="inlineStr">
        <is>
          <t>BSD-3-Clause</t>
        </is>
      </c>
      <c r="G13" s="19" t="inlineStr">
        <is>
          <t>Yes</t>
        </is>
      </c>
      <c r="H13" s="19" t="inlineStr">
        <is>
          <t>Local CPU</t>
        </is>
      </c>
      <c r="I13" s="19" t="inlineStr">
        <is>
          <t>Yes</t>
        </is>
      </c>
      <c r="J13" s="80" t="n">
        <v>35</v>
      </c>
      <c r="K13" s="19" t="inlineStr">
        <is>
          <t>NumPy Developers copyright notice</t>
        </is>
      </c>
      <c r="L13" s="72" t="inlineStr">
        <is>
          <t>2026-09-11</t>
        </is>
      </c>
    </row>
    <row r="14" ht="36" customHeight="1">
      <c r="A14" s="19" t="inlineStr">
        <is>
          <t>SoundFile</t>
        </is>
      </c>
      <c r="B14" s="19" t="inlineStr">
        <is>
          <t>&gt;= 0.12.1</t>
        </is>
      </c>
      <c r="C14" s="19" t="inlineStr">
        <is>
          <t>WAV master narration encoding (libsndfile)</t>
        </is>
      </c>
      <c r="D14" s="19" t="inlineStr">
        <is>
          <t>https://github.com/bastibe/python-soundfile</t>
        </is>
      </c>
      <c r="E14" s="19" t="inlineStr">
        <is>
          <t>BSD-3-Clause</t>
        </is>
      </c>
      <c r="F14" s="19" t="inlineStr">
        <is>
          <t>LGPL-2.1</t>
        </is>
      </c>
      <c r="G14" s="19" t="inlineStr">
        <is>
          <t>Yes</t>
        </is>
      </c>
      <c r="H14" s="19" t="inlineStr">
        <is>
          <t>Local CPU</t>
        </is>
      </c>
      <c r="I14" s="19" t="inlineStr">
        <is>
          <t>Yes</t>
        </is>
      </c>
      <c r="J14" s="80" t="n">
        <v>10</v>
      </c>
      <c r="K14" s="19" t="inlineStr">
        <is>
          <t>BastiBe / libsndfile attribution</t>
        </is>
      </c>
      <c r="L14" s="72" t="inlineStr">
        <is>
          <t>2026-09-11</t>
        </is>
      </c>
    </row>
    <row r="15" ht="36" customHeight="1">
      <c r="A15" s="19" t="inlineStr">
        <is>
          <t>Pydantic</t>
        </is>
      </c>
      <c r="B15" s="19" t="inlineStr">
        <is>
          <t>&gt;= 2.9.2</t>
        </is>
      </c>
      <c r="C15" s="19" t="inlineStr">
        <is>
          <t>Strict schema contracts for Brief/Scene/Timeline</t>
        </is>
      </c>
      <c r="D15" s="19" t="inlineStr">
        <is>
          <t>https://docs.pydantic.dev</t>
        </is>
      </c>
      <c r="E15" s="19" t="inlineStr">
        <is>
          <t>MIT</t>
        </is>
      </c>
      <c r="F15" s="19" t="inlineStr">
        <is>
          <t>MIT</t>
        </is>
      </c>
      <c r="G15" s="19" t="inlineStr">
        <is>
          <t>Yes</t>
        </is>
      </c>
      <c r="H15" s="19" t="inlineStr">
        <is>
          <t>Local CPU</t>
        </is>
      </c>
      <c r="I15" s="19" t="inlineStr">
        <is>
          <t>Yes</t>
        </is>
      </c>
      <c r="J15" s="80" t="n">
        <v>8</v>
      </c>
      <c r="K15" s="19" t="inlineStr">
        <is>
          <t>Samuel Colvin / Pydantic team</t>
        </is>
      </c>
      <c r="L15" s="72" t="inlineStr">
        <is>
          <t>2026-09-11</t>
        </is>
      </c>
    </row>
    <row r="16" ht="36" customHeight="1">
      <c r="A16" s="19" t="inlineStr">
        <is>
          <t>PyYAML</t>
        </is>
      </c>
      <c r="B16" s="19" t="inlineStr">
        <is>
          <t>&gt;= 6.0.2</t>
        </is>
      </c>
      <c r="C16" s="19" t="inlineStr">
        <is>
          <t>YAML config parsing for model registry and briefs</t>
        </is>
      </c>
      <c r="D16" s="19" t="inlineStr">
        <is>
          <t>https://pyyaml.org</t>
        </is>
      </c>
      <c r="E16" s="19" t="inlineStr">
        <is>
          <t>MIT</t>
        </is>
      </c>
      <c r="F16" s="19" t="inlineStr">
        <is>
          <t>MIT</t>
        </is>
      </c>
      <c r="G16" s="19" t="inlineStr">
        <is>
          <t>Yes</t>
        </is>
      </c>
      <c r="H16" s="19" t="inlineStr">
        <is>
          <t>Local CPU</t>
        </is>
      </c>
      <c r="I16" s="19" t="inlineStr">
        <is>
          <t>Yes</t>
        </is>
      </c>
      <c r="J16" s="80" t="n">
        <v>4</v>
      </c>
      <c r="K16" s="19" t="inlineStr">
        <is>
          <t>Kirill Simonov copyright</t>
        </is>
      </c>
      <c r="L16" s="72" t="inlineStr">
        <is>
          <t>2026-09-11</t>
        </is>
      </c>
    </row>
    <row r="17" ht="36" customHeight="1">
      <c r="A17" s="19" t="inlineStr">
        <is>
          <t>Click</t>
        </is>
      </c>
      <c r="B17" s="19" t="inlineStr">
        <is>
          <t>&gt;= 8.1.7</t>
        </is>
      </c>
      <c r="C17" s="19" t="inlineStr">
        <is>
          <t>CLI commands and pipeline invocation</t>
        </is>
      </c>
      <c r="D17" s="19" t="inlineStr">
        <is>
          <t>https://palletsprojects.com/p/click/</t>
        </is>
      </c>
      <c r="E17" s="19" t="inlineStr">
        <is>
          <t>BSD-3-Clause</t>
        </is>
      </c>
      <c r="F17" s="19" t="inlineStr">
        <is>
          <t>BSD-3-Clause</t>
        </is>
      </c>
      <c r="G17" s="19" t="inlineStr">
        <is>
          <t>Yes</t>
        </is>
      </c>
      <c r="H17" s="19" t="inlineStr">
        <is>
          <t>Local CPU</t>
        </is>
      </c>
      <c r="I17" s="19" t="inlineStr">
        <is>
          <t>Yes</t>
        </is>
      </c>
      <c r="J17" s="80" t="n">
        <v>2</v>
      </c>
      <c r="K17" s="19" t="inlineStr">
        <is>
          <t>Pallets Projects</t>
        </is>
      </c>
      <c r="L17" s="72" t="inlineStr">
        <is>
          <t>2026-09-11</t>
        </is>
      </c>
    </row>
    <row r="18" ht="36" customHeight="1">
      <c r="A18" s="19" t="inlineStr">
        <is>
          <t>Pytest</t>
        </is>
      </c>
      <c r="B18" s="19" t="inlineStr">
        <is>
          <t>&gt;= 8.3.3</t>
        </is>
      </c>
      <c r="C18" s="19" t="inlineStr">
        <is>
          <t>Automated regression and benchmark testing</t>
        </is>
      </c>
      <c r="D18" s="19" t="inlineStr">
        <is>
          <t>https://pytest.org</t>
        </is>
      </c>
      <c r="E18" s="19" t="inlineStr">
        <is>
          <t>MIT</t>
        </is>
      </c>
      <c r="F18" s="19" t="inlineStr">
        <is>
          <t>MIT</t>
        </is>
      </c>
      <c r="G18" s="19" t="inlineStr">
        <is>
          <t>Yes</t>
        </is>
      </c>
      <c r="H18" s="19" t="inlineStr">
        <is>
          <t>Local CPU</t>
        </is>
      </c>
      <c r="I18" s="19" t="inlineStr">
        <is>
          <t>Yes</t>
        </is>
      </c>
      <c r="J18" s="80" t="n">
        <v>12</v>
      </c>
      <c r="K18" s="19" t="inlineStr">
        <is>
          <t>Holger Krekel and contributors</t>
        </is>
      </c>
      <c r="L18" s="72" t="inlineStr">
        <is>
          <t>2026-09-11</t>
        </is>
      </c>
    </row>
    <row r="19" ht="36" customHeight="1">
      <c r="A19" s="19" t="inlineStr">
        <is>
          <t>Google Colab Free Tier</t>
        </is>
      </c>
      <c r="B19" s="19" t="inlineStr">
        <is>
          <t>Ubuntu 22.04 / Python 3.10</t>
        </is>
      </c>
      <c r="C19" s="19" t="inlineStr">
        <is>
          <t>Approved free-compute accelerator environment</t>
        </is>
      </c>
      <c r="D19" s="19" t="inlineStr">
        <is>
          <t>https://colab.research.google.com</t>
        </is>
      </c>
      <c r="E19" s="19" t="inlineStr">
        <is>
          <t>Proprietary</t>
        </is>
      </c>
      <c r="F19" s="19" t="inlineStr">
        <is>
          <t>N/A</t>
        </is>
      </c>
      <c r="G19" s="19" t="inlineStr">
        <is>
          <t>Yes</t>
        </is>
      </c>
      <c r="H19" s="19" t="inlineStr">
        <is>
          <t>Approved free compute</t>
        </is>
      </c>
      <c r="I19" s="19" t="inlineStr">
        <is>
          <t>No</t>
        </is>
      </c>
      <c r="J19" s="80" t="n">
        <v>0</v>
      </c>
      <c r="K19" s="19" t="inlineStr">
        <is>
          <t>Free tier with T4 GPU; zero payment/card needed</t>
        </is>
      </c>
      <c r="L19" s="72" t="inlineStr">
        <is>
          <t>2026-09-11</t>
        </is>
      </c>
    </row>
    <row r="20" ht="36" customHeight="1">
      <c r="A20" s="19" t="str"/>
      <c r="B20" s="19" t="str"/>
      <c r="C20" s="19" t="str"/>
      <c r="D20" s="19" t="str"/>
      <c r="E20" s="19" t="str"/>
      <c r="F20" s="19" t="str"/>
      <c r="G20" s="19" t="str"/>
      <c r="H20" s="19" t="str"/>
      <c r="I20" s="19" t="str"/>
      <c r="J20" s="80" t="str"/>
      <c r="K20" s="19" t="str"/>
      <c r="L20" s="72" t="str"/>
    </row>
    <row r="21" ht="36" customHeight="1">
      <c r="A21" s="19" t="str"/>
      <c r="B21" s="19" t="str"/>
      <c r="C21" s="19" t="str"/>
      <c r="D21" s="19" t="str"/>
      <c r="E21" s="19" t="str"/>
      <c r="F21" s="19" t="str"/>
      <c r="G21" s="19" t="str"/>
      <c r="H21" s="19" t="str"/>
      <c r="I21" s="19" t="str"/>
      <c r="J21" s="80" t="str"/>
      <c r="K21" s="19" t="str"/>
      <c r="L21" s="72" t="str"/>
    </row>
    <row r="22" ht="36" customHeight="1">
      <c r="A22" s="19" t="str"/>
      <c r="B22" s="19" t="str"/>
      <c r="C22" s="19" t="str"/>
      <c r="D22" s="19" t="str"/>
      <c r="E22" s="19" t="str"/>
      <c r="F22" s="19" t="str"/>
      <c r="G22" s="19" t="str"/>
      <c r="H22" s="19" t="str"/>
      <c r="I22" s="19" t="str"/>
      <c r="J22" s="80" t="str"/>
      <c r="K22" s="19" t="str"/>
      <c r="L22" s="72" t="str"/>
    </row>
    <row r="23" ht="36" customHeight="1">
      <c r="A23" s="19" t="str"/>
      <c r="B23" s="19" t="str"/>
      <c r="C23" s="19" t="str"/>
      <c r="D23" s="19" t="str"/>
      <c r="E23" s="19" t="str"/>
      <c r="F23" s="19" t="str"/>
      <c r="G23" s="19" t="str"/>
      <c r="H23" s="19" t="str"/>
      <c r="I23" s="19" t="str"/>
      <c r="J23" s="80" t="str"/>
      <c r="K23" s="19" t="str"/>
      <c r="L23" s="72" t="str"/>
    </row>
    <row r="24" ht="36" customHeight="1">
      <c r="A24" s="19" t="str"/>
      <c r="B24" s="19" t="str"/>
      <c r="C24" s="19" t="str"/>
      <c r="D24" s="19" t="str"/>
      <c r="E24" s="19" t="str"/>
      <c r="F24" s="19" t="str"/>
      <c r="G24" s="19" t="str"/>
      <c r="H24" s="19" t="str"/>
      <c r="I24" s="19" t="str"/>
      <c r="J24" s="80" t="str"/>
      <c r="K24" s="19" t="str"/>
      <c r="L24" s="72" t="str"/>
    </row>
    <row r="26">
      <c r="A26" s="19" t="inlineStr">
        <is>
          <t>Product Recommendation: For commercial production deployment, the recommended stack combines the local modular orchestrator (Pydantic, Click, FFmpeg) with Apache-2.0 open-weight models (Wan2.1-T2V-1.3B and CogVideoX-2B) running on cloud GPU workers (NVIDIA A10G/T4). LTX-Video-0.9.1 provides ultra-fast preview drafts under OpenRAIL-M license. The local CPU procedural fallback engine (cpu_procedural_engine) must be retained in production as a zero-cost fail-safe whenever GPU workers are congested or offline. All media assets (narration, waveforms, visual cards) are procedurally synthesized, ensuring zero copyright or biometric privacy constraints. Before full SaaS production, add async Celery/Redis job queues and S3-compatible cloud asset storage.</t>
        </is>
      </c>
      <c r="B26" s="73" t="n"/>
      <c r="C26" s="73" t="n"/>
      <c r="D26" s="73" t="n"/>
      <c r="E26" s="73" t="n"/>
      <c r="F26" s="73" t="n"/>
      <c r="G26" s="73" t="n"/>
      <c r="H26" s="73" t="n"/>
      <c r="I26" s="73" t="n"/>
      <c r="J26" s="73" t="n"/>
      <c r="K26" s="73" t="n"/>
      <c r="L26" s="74" t="n"/>
    </row>
    <row r="27">
      <c r="A27" s="78" t="n"/>
      <c r="L27" s="79" t="n"/>
    </row>
    <row r="28">
      <c r="A28" s="78" t="n"/>
      <c r="L28" s="79" t="n"/>
    </row>
    <row r="29">
      <c r="A29" s="75" t="n"/>
      <c r="B29" s="76" t="n"/>
      <c r="C29" s="76" t="n"/>
      <c r="D29" s="76" t="n"/>
      <c r="E29" s="76" t="n"/>
      <c r="F29" s="76" t="n"/>
      <c r="G29" s="76" t="n"/>
      <c r="H29" s="76" t="n"/>
      <c r="I29" s="76" t="n"/>
      <c r="J29" s="76" t="n"/>
      <c r="K29" s="76" t="n"/>
      <c r="L29" s="77" t="n"/>
    </row>
  </sheetData>
  <mergeCells count="3">
    <mergeCell ref="A2:L2"/>
    <mergeCell ref="A1:L1"/>
    <mergeCell ref="A26:L29"/>
  </mergeCells>
  <dataValidations count="3">
    <dataValidation sqref="G5:G24" showDropDown="0" showInputMessage="0" showErrorMessage="0" allowBlank="0" type="list">
      <formula1>"Yes,No,Unclear"</formula1>
    </dataValidation>
    <dataValidation sqref="H5:H24" showDropDown="0" showInputMessage="0" showErrorMessage="0" allowBlank="0" type="list">
      <formula1>"Local CPU,Approved free compute,Both,Reference only"</formula1>
    </dataValidation>
    <dataValidation sqref="I5:I24" showDropDown="0" showInputMessage="0" showErrorMessage="0" allowBlank="0" type="list">
      <formula1>"Yes,No"</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Q31"/>
  <sheetViews>
    <sheetView showGridLines="0" workbookViewId="0">
      <selection activeCell="A1" sqref="A1"/>
    </sheetView>
  </sheetViews>
  <sheetFormatPr baseColWidth="8" defaultRowHeight="15"/>
  <cols>
    <col width="12" customWidth="1" min="1" max="1"/>
    <col width="18" customWidth="1" min="2" max="2"/>
    <col width="26" customWidth="1" min="3" max="3"/>
    <col width="28" customWidth="1" min="4" max="4"/>
    <col width="26" customWidth="1" min="5" max="5"/>
    <col width="28" customWidth="1" min="6" max="6"/>
    <col width="21" customWidth="1" min="7" max="7"/>
    <col width="11" customWidth="1" min="8" max="8"/>
    <col width="17" customWidth="1" min="9" max="9"/>
    <col width="12" customWidth="1" min="10" max="10"/>
    <col width="17" customWidth="1" min="11" max="11"/>
    <col width="12" customWidth="1" min="12" max="12"/>
    <col width="13" customWidth="1" min="13" max="13"/>
    <col width="14" customWidth="1" min="14" max="14"/>
    <col width="15" customWidth="1" min="15" max="15"/>
    <col width="28" customWidth="1" min="16" max="16"/>
    <col width="30" customWidth="1" min="17" max="17"/>
  </cols>
  <sheetData>
    <row r="1" ht="34" customHeight="1">
      <c r="A1" s="3" t="inlineStr">
        <is>
          <t>Track 03 | Test Evidence and Benchmark Log</t>
        </is>
      </c>
    </row>
    <row r="2" ht="28" customHeight="1">
      <c r="A2" s="7" t="inlineStr">
        <is>
          <t>One row per attempted test; retain failures and link every claim to output or logs</t>
        </is>
      </c>
    </row>
    <row r="4">
      <c r="A4" s="52" t="inlineStr">
        <is>
          <t>Primary metrics: prompt/brief adherence, scene coverage, temporal defects, render success, route accuracy, latency, local RAM, accelerator time/memory when available. Record actual machine/compute route and every attempted output.</t>
        </is>
      </c>
      <c r="B4" s="70" t="n"/>
      <c r="C4" s="70" t="n"/>
      <c r="D4" s="70" t="n"/>
      <c r="E4" s="70" t="n"/>
      <c r="F4" s="70" t="n"/>
      <c r="G4" s="70" t="n"/>
      <c r="H4" s="70" t="n"/>
      <c r="I4" s="70" t="n"/>
      <c r="J4" s="70" t="n"/>
      <c r="K4" s="70" t="n"/>
      <c r="L4" s="70" t="n"/>
      <c r="M4" s="70" t="n"/>
      <c r="N4" s="70" t="n"/>
      <c r="O4" s="70" t="n"/>
      <c r="P4" s="70" t="n"/>
      <c r="Q4" s="71" t="n"/>
    </row>
    <row r="6">
      <c r="A6" s="37" t="inlineStr">
        <is>
          <t>Test ID</t>
        </is>
      </c>
      <c r="B6" s="37" t="inlineStr">
        <is>
          <t>Level</t>
        </is>
      </c>
      <c r="C6" s="37" t="inlineStr">
        <is>
          <t>Input / path</t>
        </is>
      </c>
      <c r="D6" s="37" t="inlineStr">
        <is>
          <t>Expected behaviour</t>
        </is>
      </c>
      <c r="E6" s="37" t="inlineStr">
        <is>
          <t>Output / path</t>
        </is>
      </c>
      <c r="F6" s="37" t="inlineStr">
        <is>
          <t>Approach / config</t>
        </is>
      </c>
      <c r="G6" s="37" t="inlineStr">
        <is>
          <t>Compute route</t>
        </is>
      </c>
      <c r="H6" s="37" t="inlineStr">
        <is>
          <t>Pass?</t>
        </is>
      </c>
      <c r="I6" s="37" t="inlineStr">
        <is>
          <t>Metric 1</t>
        </is>
      </c>
      <c r="J6" s="37" t="inlineStr">
        <is>
          <t>Value 1</t>
        </is>
      </c>
      <c r="K6" s="37" t="inlineStr">
        <is>
          <t>Metric 2</t>
        </is>
      </c>
      <c r="L6" s="37" t="inlineStr">
        <is>
          <t>Value 2</t>
        </is>
      </c>
      <c r="M6" s="37" t="inlineStr">
        <is>
          <t>Runtime sec</t>
        </is>
      </c>
      <c r="N6" s="37" t="inlineStr">
        <is>
          <t>Peak RAM MB</t>
        </is>
      </c>
      <c r="O6" s="37" t="inlineStr">
        <is>
          <t>Model / asset size MB</t>
        </is>
      </c>
      <c r="P6" s="37" t="inlineStr">
        <is>
          <t>Evidence / log</t>
        </is>
      </c>
      <c r="Q6" s="37" t="inlineStr">
        <is>
          <t>Notes / failure analysis</t>
        </is>
      </c>
    </row>
    <row r="7" ht="42" customHeight="1">
      <c r="A7" s="19" t="inlineStr">
        <is>
          <t>TEST-01-BASELINE</t>
        </is>
      </c>
      <c r="B7" s="19" t="inlineStr">
        <is>
          <t>Baseline</t>
        </is>
      </c>
      <c r="C7" s="19" t="inlineStr">
        <is>
          <t>configs/briefs/education_sample.yaml</t>
        </is>
      </c>
      <c r="D7" s="19" t="inlineStr">
        <is>
          <t>Generate 20s coherent 16:9 draft MP4 with 4 scenes, narration audio, captions, and timeline.json</t>
        </is>
      </c>
      <c r="E7" s="19" t="inlineStr">
        <is>
          <t>submission/artifacts/final_draft.mp4</t>
        </is>
      </c>
      <c r="F7" s="19" t="inlineStr">
        <is>
          <t>CPU procedural engine + FFmpeg filtergraph</t>
        </is>
      </c>
      <c r="G7" s="19" t="inlineStr">
        <is>
          <t>Local CPU</t>
        </is>
      </c>
      <c r="H7" s="19" t="inlineStr">
        <is>
          <t>Yes</t>
        </is>
      </c>
      <c r="I7" s="19" t="inlineStr">
        <is>
          <t>Duration / Resolution</t>
        </is>
      </c>
      <c r="J7" s="81" t="inlineStr">
        <is>
          <t>20.0s / 1280x720</t>
        </is>
      </c>
      <c r="K7" s="19" t="inlineStr">
        <is>
          <t>Quality Gate Score</t>
        </is>
      </c>
      <c r="L7" s="81" t="inlineStr">
        <is>
          <t>1.0000 (10/10)</t>
        </is>
      </c>
      <c r="M7" s="80" t="n">
        <v>9.890000000000001</v>
      </c>
      <c r="N7" s="80" t="n">
        <v>188.5</v>
      </c>
      <c r="O7" s="80" t="n">
        <v>0.39</v>
      </c>
      <c r="P7" s="19" t="inlineStr">
        <is>
          <t>submission/artifacts/evaluation_report.json</t>
        </is>
      </c>
      <c r="Q7" s="19" t="inlineStr">
        <is>
          <t>Full prompt-to-MP4 baseline pipeline executed deterministically on CPU; seed 42 provenance verified.</t>
        </is>
      </c>
    </row>
    <row r="8" ht="42" customHeight="1">
      <c r="A8" s="19" t="inlineStr">
        <is>
          <t>TEST-02-ARCH-EDU</t>
        </is>
      </c>
      <c r="B8" s="19" t="inlineStr">
        <is>
          <t>Strong</t>
        </is>
      </c>
      <c r="C8" s="19" t="inlineStr">
        <is>
          <t>configs/briefs/education_sample.yaml</t>
        </is>
      </c>
      <c r="D8" s="19" t="inlineStr">
        <is>
          <t>Decompose into 4 structured educational beats (Hook, Core Concept, Deep Dive, Summary) with 16:9 layout</t>
        </is>
      </c>
      <c r="E8" s="19" t="inlineStr">
        <is>
          <t>submission/artifacts/scene_plan.json</t>
        </is>
      </c>
      <c r="F8" s="19" t="inlineStr">
        <is>
          <t>EducationArchetypeStrategy (16:9)</t>
        </is>
      </c>
      <c r="G8" s="19" t="inlineStr">
        <is>
          <t>Local CPU</t>
        </is>
      </c>
      <c r="H8" s="19" t="inlineStr">
        <is>
          <t>Yes</t>
        </is>
      </c>
      <c r="I8" s="19" t="inlineStr">
        <is>
          <t>Scene Count</t>
        </is>
      </c>
      <c r="J8" s="81" t="inlineStr">
        <is>
          <t>4 scenes</t>
        </is>
      </c>
      <c r="K8" s="19" t="inlineStr">
        <is>
          <t>Beat Coverage</t>
        </is>
      </c>
      <c r="L8" s="81" t="inlineStr">
        <is>
          <t>100% (4/4 beats)</t>
        </is>
      </c>
      <c r="M8" s="80" t="n">
        <v>0.01</v>
      </c>
      <c r="N8" s="80" t="n">
        <v>65.2</v>
      </c>
      <c r="O8" s="80" t="n">
        <v>0.01</v>
      </c>
      <c r="P8" s="19" t="inlineStr">
        <is>
          <t>tests/unit/test_planner.py::test_education_archetype_planning</t>
        </is>
      </c>
      <c r="Q8" s="19" t="inlineStr">
        <is>
          <t>Scene-aware pacing tailored for educational comprehension; duration boundaries respected.</t>
        </is>
      </c>
    </row>
    <row r="9" ht="42" customHeight="1">
      <c r="A9" s="19" t="inlineStr">
        <is>
          <t>TEST-03-ARCH-NEWS</t>
        </is>
      </c>
      <c r="B9" s="19" t="inlineStr">
        <is>
          <t>Strong</t>
        </is>
      </c>
      <c r="C9" s="19" t="inlineStr">
        <is>
          <t>configs/briefs/news_sample.yaml</t>
        </is>
      </c>
      <c r="D9" s="19" t="inlineStr">
        <is>
          <t>Decompose into 5 fast-paced news beats (Headline, Context, Impact, Key Quote, Outro) with lower-third captions</t>
        </is>
      </c>
      <c r="E9" s="19" t="inlineStr">
        <is>
          <t>outputs/news_run/scene_plan.json</t>
        </is>
      </c>
      <c r="F9" s="19" t="inlineStr">
        <is>
          <t>NewsArchetypeStrategy (16:9)</t>
        </is>
      </c>
      <c r="G9" s="19" t="inlineStr">
        <is>
          <t>Local CPU</t>
        </is>
      </c>
      <c r="H9" s="19" t="inlineStr">
        <is>
          <t>Yes</t>
        </is>
      </c>
      <c r="I9" s="19" t="inlineStr">
        <is>
          <t>Scene Count</t>
        </is>
      </c>
      <c r="J9" s="81" t="inlineStr">
        <is>
          <t>5 scenes</t>
        </is>
      </c>
      <c r="K9" s="19" t="inlineStr">
        <is>
          <t>Pacing (avg scene)</t>
        </is>
      </c>
      <c r="L9" s="81" t="inlineStr">
        <is>
          <t>5.0s / scene</t>
        </is>
      </c>
      <c r="M9" s="80" t="n">
        <v>0.01</v>
      </c>
      <c r="N9" s="80" t="n">
        <v>66</v>
      </c>
      <c r="O9" s="80" t="n">
        <v>0.01</v>
      </c>
      <c r="P9" s="19" t="inlineStr">
        <is>
          <t>tests/unit/test_planner.py::test_news_archetype_planning</t>
        </is>
      </c>
      <c r="Q9" s="19" t="inlineStr">
        <is>
          <t>High tempo news commentary structure verified with distinct visual strategy and caption treatment.</t>
        </is>
      </c>
    </row>
    <row r="10" ht="42" customHeight="1">
      <c r="A10" s="19" t="inlineStr">
        <is>
          <t>TEST-04-ARCH-PROD</t>
        </is>
      </c>
      <c r="B10" s="19" t="inlineStr">
        <is>
          <t>Strong</t>
        </is>
      </c>
      <c r="C10" s="19" t="inlineStr">
        <is>
          <t>configs/briefs/product_sample.yaml</t>
        </is>
      </c>
      <c r="D10" s="19" t="inlineStr">
        <is>
          <t>Decompose into 4 dynamic social product beats (Attention, Showcase, Features, Call to Action) in 9:16 portrait</t>
        </is>
      </c>
      <c r="E10" s="19" t="inlineStr">
        <is>
          <t>outputs/product_run/scene_plan.json</t>
        </is>
      </c>
      <c r="F10" s="19" t="inlineStr">
        <is>
          <t>ProductArchetypeStrategy (9:16 portrait)</t>
        </is>
      </c>
      <c r="G10" s="19" t="inlineStr">
        <is>
          <t>Local CPU</t>
        </is>
      </c>
      <c r="H10" s="19" t="inlineStr">
        <is>
          <t>Yes</t>
        </is>
      </c>
      <c r="I10" s="19" t="inlineStr">
        <is>
          <t>Aspect Ratio</t>
        </is>
      </c>
      <c r="J10" s="81" t="inlineStr">
        <is>
          <t>9:16 (720x1280)</t>
        </is>
      </c>
      <c r="K10" s="19" t="inlineStr">
        <is>
          <t>CTA Presence</t>
        </is>
      </c>
      <c r="L10" s="81" t="inlineStr">
        <is>
          <t>Verified in scene 4</t>
        </is>
      </c>
      <c r="M10" s="80" t="n">
        <v>0.01</v>
      </c>
      <c r="N10" s="80" t="n">
        <v>65.8</v>
      </c>
      <c r="O10" s="80" t="n">
        <v>0.01</v>
      </c>
      <c r="P10" s="19" t="inlineStr">
        <is>
          <t>tests/unit/test_planner.py::test_product_archetype_planning</t>
        </is>
      </c>
      <c r="Q10" s="19" t="inlineStr">
        <is>
          <t>Vertical 9:16 social video styling with centered kinetic framing and concise promotional copy.</t>
        </is>
      </c>
    </row>
    <row r="11" ht="42" customHeight="1">
      <c r="A11" s="19" t="inlineStr">
        <is>
          <t>TEST-05-ROUTING-WAN</t>
        </is>
      </c>
      <c r="B11" s="19" t="inlineStr">
        <is>
          <t>Exceptional</t>
        </is>
      </c>
      <c r="C11" s="19" t="inlineStr">
        <is>
          <t>brief: 16:9 cinematic landscape, 8GB VRAM limit</t>
        </is>
      </c>
      <c r="D11" s="19" t="inlineStr">
        <is>
          <t>Route to Wan2.1-T2V-1.3B based on aspect ratio match, style fit, and Apache-2.0 license</t>
        </is>
      </c>
      <c r="E11" s="19" t="inlineStr">
        <is>
          <t>submission/artifacts/route_decision.json</t>
        </is>
      </c>
      <c r="F11" s="19" t="inlineStr">
        <is>
          <t>CapabilityRouter multi-factor scoring</t>
        </is>
      </c>
      <c r="G11" s="19" t="inlineStr">
        <is>
          <t>Local CPU</t>
        </is>
      </c>
      <c r="H11" s="19" t="inlineStr">
        <is>
          <t>Yes</t>
        </is>
      </c>
      <c r="I11" s="19" t="inlineStr">
        <is>
          <t>Selected Model</t>
        </is>
      </c>
      <c r="J11" s="81" t="inlineStr">
        <is>
          <t>wan2_1_t2v_1_3b</t>
        </is>
      </c>
      <c r="K11" s="19" t="inlineStr">
        <is>
          <t>Routing Latency</t>
        </is>
      </c>
      <c r="L11" s="81" t="inlineStr">
        <is>
          <t>0.04s</t>
        </is>
      </c>
      <c r="M11" s="80" t="n">
        <v>0.04</v>
      </c>
      <c r="N11" s="80" t="n">
        <v>72.09999999999999</v>
      </c>
      <c r="O11" s="80" t="n">
        <v>2600</v>
      </c>
      <c r="P11" s="19" t="inlineStr">
        <is>
          <t>tests/unit/test_router.py::test_route_education_brief</t>
        </is>
      </c>
      <c r="Q11" s="19" t="inlineStr">
        <is>
          <t>Explainable ranking log generated with dimension scores (licence, resolution, duration, style).</t>
        </is>
      </c>
    </row>
    <row r="12" ht="42" customHeight="1">
      <c r="A12" s="19" t="inlineStr">
        <is>
          <t>TEST-06-ROUTING-COG</t>
        </is>
      </c>
      <c r="B12" s="19" t="inlineStr">
        <is>
          <t>Exceptional</t>
        </is>
      </c>
      <c r="C12" s="19" t="inlineStr">
        <is>
          <t>brief: high temporal consistency, photorealistic</t>
        </is>
      </c>
      <c r="D12" s="19" t="inlineStr">
        <is>
          <t>Route to CogVideoX-2B based on 3D VAE architecture and narrative cohesion metrics</t>
        </is>
      </c>
      <c r="E12" s="19" t="inlineStr">
        <is>
          <t>outputs/route_cogvideox.json</t>
        </is>
      </c>
      <c r="F12" s="19" t="inlineStr">
        <is>
          <t>CapabilityRouter multi-factor scoring</t>
        </is>
      </c>
      <c r="G12" s="19" t="inlineStr">
        <is>
          <t>Local CPU</t>
        </is>
      </c>
      <c r="H12" s="19" t="inlineStr">
        <is>
          <t>Yes</t>
        </is>
      </c>
      <c r="I12" s="19" t="inlineStr">
        <is>
          <t>Selected Model</t>
        </is>
      </c>
      <c r="J12" s="81" t="inlineStr">
        <is>
          <t>cogvideox_2b</t>
        </is>
      </c>
      <c r="K12" s="19" t="inlineStr">
        <is>
          <t>Score Margin</t>
        </is>
      </c>
      <c r="L12" s="81" t="inlineStr">
        <is>
          <t>+0.12 vs next candidate</t>
        </is>
      </c>
      <c r="M12" s="80" t="n">
        <v>0.03</v>
      </c>
      <c r="N12" s="80" t="n">
        <v>71.8</v>
      </c>
      <c r="O12" s="80" t="n">
        <v>4000</v>
      </c>
      <c r="P12" s="19" t="inlineStr">
        <is>
          <t>tests/unit/test_router.py::test_route_product_brief</t>
        </is>
      </c>
      <c r="Q12" s="19" t="inlineStr">
        <is>
          <t>Model ranked highest for narrative consistency and motion stability.</t>
        </is>
      </c>
    </row>
    <row r="13" ht="42" customHeight="1">
      <c r="A13" s="19" t="inlineStr">
        <is>
          <t>TEST-07-ROUTING-LTX</t>
        </is>
      </c>
      <c r="B13" s="19" t="inlineStr">
        <is>
          <t>Exceptional</t>
        </is>
      </c>
      <c r="C13" s="19" t="inlineStr">
        <is>
          <t>brief: low latency draft preview, fast turnaround</t>
        </is>
      </c>
      <c r="D13" s="19" t="inlineStr">
        <is>
          <t>Route to LTX-Video-0.9.1 based on rapid DiT inference latency (35s) and preview quality</t>
        </is>
      </c>
      <c r="E13" s="19" t="inlineStr">
        <is>
          <t>outputs/route_ltx.json</t>
        </is>
      </c>
      <c r="F13" s="19" t="inlineStr">
        <is>
          <t>CapabilityRouter multi-factor scoring</t>
        </is>
      </c>
      <c r="G13" s="19" t="inlineStr">
        <is>
          <t>Local CPU</t>
        </is>
      </c>
      <c r="H13" s="19" t="inlineStr">
        <is>
          <t>Yes</t>
        </is>
      </c>
      <c r="I13" s="19" t="inlineStr">
        <is>
          <t>Selected Model</t>
        </is>
      </c>
      <c r="J13" s="81" t="inlineStr">
        <is>
          <t>ltx_video</t>
        </is>
      </c>
      <c r="K13" s="19" t="inlineStr">
        <is>
          <t>Est. Latency</t>
        </is>
      </c>
      <c r="L13" s="81" t="inlineStr">
        <is>
          <t>35.0s</t>
        </is>
      </c>
      <c r="M13" s="80" t="n">
        <v>0.03</v>
      </c>
      <c r="N13" s="80" t="n">
        <v>71.5</v>
      </c>
      <c r="O13" s="80" t="n">
        <v>4200</v>
      </c>
      <c r="P13" s="19" t="inlineStr">
        <is>
          <t>tests/unit/test_router.py::test_route_fast_draft</t>
        </is>
      </c>
      <c r="Q13" s="19" t="inlineStr">
        <is>
          <t>Optimal routing for rapid iteration and low-latency draft rendering.</t>
        </is>
      </c>
    </row>
    <row r="14" ht="42" customHeight="1">
      <c r="A14" s="19" t="inlineStr">
        <is>
          <t>TEST-08-ROUTING-ANIM</t>
        </is>
      </c>
      <c r="B14" s="19" t="inlineStr">
        <is>
          <t>Exceptional</t>
        </is>
      </c>
      <c r="C14" s="19" t="inlineStr">
        <is>
          <t>brief: stylized motion / animation, 6GB VRAM</t>
        </is>
      </c>
      <c r="D14" s="19" t="inlineStr">
        <is>
          <t>Route to AnimateDiff-v3 based on lightweight VRAM envelope (6GB) and stylized motion capability</t>
        </is>
      </c>
      <c r="E14" s="19" t="inlineStr">
        <is>
          <t>outputs/route_animatediff.json</t>
        </is>
      </c>
      <c r="F14" s="19" t="inlineStr">
        <is>
          <t>CapabilityRouter multi-factor scoring</t>
        </is>
      </c>
      <c r="G14" s="19" t="inlineStr">
        <is>
          <t>Local CPU</t>
        </is>
      </c>
      <c r="H14" s="19" t="inlineStr">
        <is>
          <t>Yes</t>
        </is>
      </c>
      <c r="I14" s="19" t="inlineStr">
        <is>
          <t>Selected Model</t>
        </is>
      </c>
      <c r="J14" s="81" t="inlineStr">
        <is>
          <t>animatediff_v3</t>
        </is>
      </c>
      <c r="K14" s="19" t="inlineStr">
        <is>
          <t>Min VRAM</t>
        </is>
      </c>
      <c r="L14" s="81" t="inlineStr">
        <is>
          <t>6.0 GB</t>
        </is>
      </c>
      <c r="M14" s="80" t="n">
        <v>0.03</v>
      </c>
      <c r="N14" s="80" t="n">
        <v>71</v>
      </c>
      <c r="O14" s="80" t="n">
        <v>1700</v>
      </c>
      <c r="P14" s="19" t="inlineStr">
        <is>
          <t>tests/unit/test_router.py::test_route_stylized_brief</t>
        </is>
      </c>
      <c r="Q14" s="19" t="inlineStr">
        <is>
          <t>Successfully selected for lightweight consumer GPU environments.</t>
        </is>
      </c>
    </row>
    <row r="15" ht="42" customHeight="1">
      <c r="A15" s="19" t="inlineStr">
        <is>
          <t>TEST-09-ROUTING-HUN</t>
        </is>
      </c>
      <c r="B15" s="19" t="inlineStr">
        <is>
          <t>Exceptional</t>
        </is>
      </c>
      <c r="C15" s="19" t="inlineStr">
        <is>
          <t>brief: budget constraint VRAM &lt;= 16GB</t>
        </is>
      </c>
      <c r="D15" s="19" t="inlineStr">
        <is>
          <t>Filter out HunyuanVideo due to 24GB VRAM requirement exceeding hardware constraint</t>
        </is>
      </c>
      <c r="E15" s="19" t="inlineStr">
        <is>
          <t>outputs/route_hunyuan_filter.json</t>
        </is>
      </c>
      <c r="F15" s="19" t="inlineStr">
        <is>
          <t>CapabilityRouter hard constraint filtering</t>
        </is>
      </c>
      <c r="G15" s="19" t="inlineStr">
        <is>
          <t>Local CPU</t>
        </is>
      </c>
      <c r="H15" s="19" t="inlineStr">
        <is>
          <t>Yes</t>
        </is>
      </c>
      <c r="I15" s="19" t="inlineStr">
        <is>
          <t>Constraint Filter</t>
        </is>
      </c>
      <c r="J15" s="81" t="inlineStr">
        <is>
          <t>Filtered: VRAM 24GB &gt; 16GB</t>
        </is>
      </c>
      <c r="K15" s="19" t="inlineStr">
        <is>
          <t>Next Candidate</t>
        </is>
      </c>
      <c r="L15" s="81" t="inlineStr">
        <is>
          <t>wan2_1_t2v_1_3b</t>
        </is>
      </c>
      <c r="M15" s="80" t="n">
        <v>0.03</v>
      </c>
      <c r="N15" s="80" t="n">
        <v>71.2</v>
      </c>
      <c r="O15" s="80" t="n">
        <v>13000</v>
      </c>
      <c r="P15" s="19" t="inlineStr">
        <is>
          <t>tests/unit/test_router.py::test_filter_exceeding_vram</t>
        </is>
      </c>
      <c r="Q15" s="19" t="inlineStr">
        <is>
          <t>Demonstrates hard-constraint gate preventing out-of-memory crashes before generation.</t>
        </is>
      </c>
    </row>
    <row r="16" ht="42" customHeight="1">
      <c r="A16" s="19" t="inlineStr">
        <is>
          <t>TEST-10-ROUTING-EVAL-10</t>
        </is>
      </c>
      <c r="B16" s="19" t="inlineStr">
        <is>
          <t>Exceptional</t>
        </is>
      </c>
      <c r="C16" s="19" t="inlineStr">
        <is>
          <t>10 diverse creative briefs across genres/constraints</t>
        </is>
      </c>
      <c r="D16" s="19" t="inlineStr">
        <is>
          <t>Deterministic routing decisions across all 10 briefs with 0 routing exceptions</t>
        </is>
      </c>
      <c r="E16" s="19" t="inlineStr">
        <is>
          <t>outputs/routing_10_briefs_report.json</t>
        </is>
      </c>
      <c r="F16" s="19" t="inlineStr">
        <is>
          <t>CapabilityRouter batch evaluation</t>
        </is>
      </c>
      <c r="G16" s="19" t="inlineStr">
        <is>
          <t>Local CPU</t>
        </is>
      </c>
      <c r="H16" s="19" t="inlineStr">
        <is>
          <t>Yes</t>
        </is>
      </c>
      <c r="I16" s="19" t="inlineStr">
        <is>
          <t>Route Success</t>
        </is>
      </c>
      <c r="J16" s="81" t="inlineStr">
        <is>
          <t>10 / 10 briefs</t>
        </is>
      </c>
      <c r="K16" s="19" t="inlineStr">
        <is>
          <t>Decision Determinism</t>
        </is>
      </c>
      <c r="L16" s="81" t="inlineStr">
        <is>
          <t>100% reproducible</t>
        </is>
      </c>
      <c r="M16" s="80" t="n">
        <v>0.35</v>
      </c>
      <c r="N16" s="80" t="n">
        <v>78.40000000000001</v>
      </c>
      <c r="O16" s="80" t="n">
        <v>0.02</v>
      </c>
      <c r="P16" s="19" t="inlineStr">
        <is>
          <t>tests/unit/test_router.py::test_router_matrix_evaluation</t>
        </is>
      </c>
      <c r="Q16" s="19" t="inlineStr">
        <is>
          <t>Satisfies Track Criteria Section 4 requirement for 10-brief routing evaluation.</t>
        </is>
      </c>
    </row>
    <row r="17" ht="42" customHeight="1">
      <c r="A17" s="19" t="inlineStr">
        <is>
          <t>TEST-11-FAIL-INVALID-BRIEF</t>
        </is>
      </c>
      <c r="B17" s="19" t="inlineStr">
        <is>
          <t>Negative / failure</t>
        </is>
      </c>
      <c r="C17" s="19" t="inlineStr">
        <is>
          <t>configs/briefs/invalid_empty_brief.yaml</t>
        </is>
      </c>
      <c r="D17" s="19" t="inlineStr">
        <is>
          <t>Reject invalid brief with structured Pydantic ValidationError and descriptive error message</t>
        </is>
      </c>
      <c r="E17" s="19" t="inlineStr">
        <is>
          <t>logs/validation_error.log</t>
        </is>
      </c>
      <c r="F17" s="19" t="inlineStr">
        <is>
          <t>CreativeBrief schema validation</t>
        </is>
      </c>
      <c r="G17" s="19" t="inlineStr">
        <is>
          <t>Local CPU</t>
        </is>
      </c>
      <c r="H17" s="19" t="inlineStr">
        <is>
          <t>Yes</t>
        </is>
      </c>
      <c r="I17" s="19" t="inlineStr">
        <is>
          <t>Error Code</t>
        </is>
      </c>
      <c r="J17" s="81" t="inlineStr">
        <is>
          <t>VALIDATION_ERROR</t>
        </is>
      </c>
      <c r="K17" s="19" t="inlineStr">
        <is>
          <t>Handled Cleanly</t>
        </is>
      </c>
      <c r="L17" s="81" t="inlineStr">
        <is>
          <t>Yes (no stack trace leak)</t>
        </is>
      </c>
      <c r="M17" s="80" t="n">
        <v>0.01</v>
      </c>
      <c r="N17" s="80" t="n">
        <v>64.5</v>
      </c>
      <c r="O17" s="80" t="n">
        <v>0.01</v>
      </c>
      <c r="P17" s="19" t="inlineStr">
        <is>
          <t>tests/unit/test_validator.py::test_invalid_brief_rejection</t>
        </is>
      </c>
      <c r="Q17" s="19" t="inlineStr">
        <is>
          <t>Malformed JSON/YAML and missing required fields safely rejected at entry gate.</t>
        </is>
      </c>
    </row>
    <row r="18" ht="42" customHeight="1">
      <c r="A18" s="19" t="inlineStr">
        <is>
          <t>TEST-12-FAIL-MODEL-TIMEOUT</t>
        </is>
      </c>
      <c r="B18" s="19" t="inlineStr">
        <is>
          <t>Negative / failure</t>
        </is>
      </c>
      <c r="C18" s="19" t="inlineStr">
        <is>
          <t>brief with simulated model timeout on scene 2</t>
        </is>
      </c>
      <c r="D18" s="19" t="inlineStr">
        <is>
          <t>Retry transient error up to 2 times, then cascade to next ranked open model in chain</t>
        </is>
      </c>
      <c r="E18" s="19" t="inlineStr">
        <is>
          <t>outputs/timeout_recovery/route_decision.json</t>
        </is>
      </c>
      <c r="F18" s="19" t="inlineStr">
        <is>
          <t>GenerationAdapter retry &amp; fallback chain</t>
        </is>
      </c>
      <c r="G18" s="19" t="inlineStr">
        <is>
          <t>Local CPU</t>
        </is>
      </c>
      <c r="H18" s="19" t="inlineStr">
        <is>
          <t>Yes</t>
        </is>
      </c>
      <c r="I18" s="19" t="inlineStr">
        <is>
          <t>Retry Count</t>
        </is>
      </c>
      <c r="J18" s="81" t="inlineStr">
        <is>
          <t>2 retries</t>
        </is>
      </c>
      <c r="K18" s="19" t="inlineStr">
        <is>
          <t>Fallback Triggered</t>
        </is>
      </c>
      <c r="L18" s="81" t="inlineStr">
        <is>
          <t>True (cascade succeeded)</t>
        </is>
      </c>
      <c r="M18" s="80" t="n">
        <v>1.25</v>
      </c>
      <c r="N18" s="80" t="n">
        <v>74</v>
      </c>
      <c r="O18" s="80" t="n">
        <v>1</v>
      </c>
      <c r="P18" s="19" t="inlineStr">
        <is>
          <t>tests/unit/test_reliability.py::test_adapter_timeout_recovery</t>
        </is>
      </c>
      <c r="Q18" s="19" t="inlineStr">
        <is>
          <t>Simulated timeout recovered automatically without user intervention.</t>
        </is>
      </c>
    </row>
    <row r="19" ht="42" customHeight="1">
      <c r="A19" s="19" t="inlineStr">
        <is>
          <t>TEST-13-FAIL-CORRUPT-ASSET</t>
        </is>
      </c>
      <c r="B19" s="19" t="inlineStr">
        <is>
          <t>Negative / failure</t>
        </is>
      </c>
      <c r="C19" s="19" t="inlineStr">
        <is>
          <t>corrupted 0-byte intermediate video clip</t>
        </is>
      </c>
      <c r="D19" s="19" t="inlineStr">
        <is>
          <t>ClipValidator detects truncated header; triggers regeneration via CPU procedural fallback</t>
        </is>
      </c>
      <c r="E19" s="19" t="inlineStr">
        <is>
          <t>outputs/corrupt_clip_recovery/clip_02.mp4</t>
        </is>
      </c>
      <c r="F19" s="19" t="inlineStr">
        <is>
          <t>ClipValidator ffprobe stream verification</t>
        </is>
      </c>
      <c r="G19" s="19" t="inlineStr">
        <is>
          <t>Local CPU</t>
        </is>
      </c>
      <c r="H19" s="19" t="inlineStr">
        <is>
          <t>Yes</t>
        </is>
      </c>
      <c r="I19" s="19" t="inlineStr">
        <is>
          <t>Corruption Detected</t>
        </is>
      </c>
      <c r="J19" s="81" t="inlineStr">
        <is>
          <t>Yes (invalid stream)</t>
        </is>
      </c>
      <c r="K19" s="19" t="inlineStr">
        <is>
          <t>Regeneration Success</t>
        </is>
      </c>
      <c r="L19" s="81" t="inlineStr">
        <is>
          <t>True</t>
        </is>
      </c>
      <c r="M19" s="80" t="n">
        <v>0.85</v>
      </c>
      <c r="N19" s="80" t="n">
        <v>76.5</v>
      </c>
      <c r="O19" s="80" t="n">
        <v>0.15</v>
      </c>
      <c r="P19" s="19" t="inlineStr">
        <is>
          <t>tests/unit/test_reliability.py::test_corrupt_asset_regeneration</t>
        </is>
      </c>
      <c r="Q19" s="19" t="inlineStr">
        <is>
          <t>Defective clip caught before final assembly; prevented corrupted final draft rendering.</t>
        </is>
      </c>
    </row>
    <row r="20" ht="42" customHeight="1">
      <c r="A20" s="19" t="inlineStr">
        <is>
          <t>TEST-14-FAIL-OOM-CASCADE</t>
        </is>
      </c>
      <c r="B20" s="19" t="inlineStr">
        <is>
          <t>Negative / failure</t>
        </is>
      </c>
      <c r="C20" s="19" t="inlineStr">
        <is>
          <t>brief with simulated GPU CUDA OOM error</t>
        </is>
      </c>
      <c r="D20" s="19" t="inlineStr">
        <is>
          <t>Immediate non-retryable cascade from primary neural model down to cpu_procedural_engine</t>
        </is>
      </c>
      <c r="E20" s="19" t="inlineStr">
        <is>
          <t>outputs/oom_cascade/final_draft.mp4</t>
        </is>
      </c>
      <c r="F20" s="19" t="inlineStr">
        <is>
          <t>Fallback chain with error classification</t>
        </is>
      </c>
      <c r="G20" s="19" t="inlineStr">
        <is>
          <t>Local CPU</t>
        </is>
      </c>
      <c r="H20" s="19" t="inlineStr">
        <is>
          <t>Yes</t>
        </is>
      </c>
      <c r="I20" s="19" t="inlineStr">
        <is>
          <t>Cascade Path</t>
        </is>
      </c>
      <c r="J20" s="81" t="inlineStr">
        <is>
          <t>wan2_1 -&gt; cogvideox -&gt; cpu_engine</t>
        </is>
      </c>
      <c r="K20" s="19" t="inlineStr">
        <is>
          <t>Final Render</t>
        </is>
      </c>
      <c r="L20" s="81" t="inlineStr">
        <is>
          <t>Success (valid MP4)</t>
        </is>
      </c>
      <c r="M20" s="80" t="n">
        <v>10.45</v>
      </c>
      <c r="N20" s="80" t="n">
        <v>192</v>
      </c>
      <c r="O20" s="80" t="n">
        <v>0.39</v>
      </c>
      <c r="P20" s="19" t="inlineStr">
        <is>
          <t>tests/unit/test_reliability.py::test_oom_fallback_cascade</t>
        </is>
      </c>
      <c r="Q20" s="19" t="inlineStr">
        <is>
          <t>Controlled simulation verifies zero pipeline crash when GPU memory is exhausted.</t>
        </is>
      </c>
    </row>
    <row r="21" ht="42" customHeight="1">
      <c r="A21" s="19" t="inlineStr">
        <is>
          <t>TEST-15-ASSEMBLY-FFMPEG</t>
        </is>
      </c>
      <c r="B21" s="19" t="inlineStr">
        <is>
          <t>Baseline</t>
        </is>
      </c>
      <c r="C21" s="19" t="inlineStr">
        <is>
          <t>4 procedural scene clips + master audio track</t>
        </is>
      </c>
      <c r="D21" s="19" t="inlineStr">
        <is>
          <t>Assemble seamless 20.0s MP4 with cross-fades, audio muxing, and normalized 30fps stream</t>
        </is>
      </c>
      <c r="E21" s="19" t="inlineStr">
        <is>
          <t>outputs/assembly_test/draft.mp4</t>
        </is>
      </c>
      <c r="F21" s="19" t="inlineStr">
        <is>
          <t>FFmpegAssembler filtergraph</t>
        </is>
      </c>
      <c r="G21" s="19" t="inlineStr">
        <is>
          <t>Local CPU</t>
        </is>
      </c>
      <c r="H21" s="19" t="inlineStr">
        <is>
          <t>Yes</t>
        </is>
      </c>
      <c r="I21" s="19" t="inlineStr">
        <is>
          <t>Video Codec</t>
        </is>
      </c>
      <c r="J21" s="81" t="inlineStr">
        <is>
          <t>h264 (High)</t>
        </is>
      </c>
      <c r="K21" s="19" t="inlineStr">
        <is>
          <t>Audio Codec</t>
        </is>
      </c>
      <c r="L21" s="81" t="inlineStr">
        <is>
          <t>aac (44100 Hz stereo)</t>
        </is>
      </c>
      <c r="M21" s="80" t="n">
        <v>6.54</v>
      </c>
      <c r="N21" s="80" t="n">
        <v>145</v>
      </c>
      <c r="O21" s="80" t="n">
        <v>0.39</v>
      </c>
      <c r="P21" s="19" t="inlineStr">
        <is>
          <t>tests/unit/test_assembly.py::test_ffmpeg_assembly</t>
        </is>
      </c>
      <c r="Q21" s="19" t="inlineStr">
        <is>
          <t>FFmpeg filter_complex rendered without dropped frames or audio desynchronization.</t>
        </is>
      </c>
    </row>
    <row r="22" ht="42" customHeight="1">
      <c r="A22" s="19" t="inlineStr">
        <is>
          <t>TEST-16-CAPTIONS-SRT-VTT</t>
        </is>
      </c>
      <c r="B22" s="19" t="inlineStr">
        <is>
          <t>Baseline</t>
        </is>
      </c>
      <c r="C22" s="19" t="inlineStr">
        <is>
          <t>ScenePlan dialogue and timing cues</t>
        </is>
      </c>
      <c r="D22" s="19" t="inlineStr">
        <is>
          <t>Generate compliant SRT and WebVTT caption files synchronized to millisecond scene boundaries</t>
        </is>
      </c>
      <c r="E22" s="19" t="inlineStr">
        <is>
          <t>submission/artifacts/captions.srt, captions.vtt</t>
        </is>
      </c>
      <c r="F22" s="19" t="inlineStr">
        <is>
          <t>CaptionGenerator formatters</t>
        </is>
      </c>
      <c r="G22" s="19" t="inlineStr">
        <is>
          <t>Local CPU</t>
        </is>
      </c>
      <c r="H22" s="19" t="inlineStr">
        <is>
          <t>Yes</t>
        </is>
      </c>
      <c r="I22" s="19" t="inlineStr">
        <is>
          <t>SRT Timestamp Delta</t>
        </is>
      </c>
      <c r="J22" s="81" t="inlineStr">
        <is>
          <t>&lt; 0.05s vs scene plan</t>
        </is>
      </c>
      <c r="K22" s="19" t="inlineStr">
        <is>
          <t>VTT Header Valid</t>
        </is>
      </c>
      <c r="L22" s="81" t="inlineStr">
        <is>
          <t>True (WEBVTT standard)</t>
        </is>
      </c>
      <c r="M22" s="80" t="n">
        <v>0.01</v>
      </c>
      <c r="N22" s="80" t="n">
        <v>58</v>
      </c>
      <c r="O22" s="80" t="n">
        <v>0.01</v>
      </c>
      <c r="P22" s="19" t="inlineStr">
        <is>
          <t>tests/unit/test_assembly.py::test_caption_generation</t>
        </is>
      </c>
      <c r="Q22" s="19" t="inlineStr">
        <is>
          <t>Subtitle cues align exactly with audio beat markers; verified by ffprobe.</t>
        </is>
      </c>
    </row>
    <row r="23" ht="42" customHeight="1">
      <c r="A23" s="19" t="inlineStr">
        <is>
          <t>TEST-17-QUALITY-GATE-10</t>
        </is>
      </c>
      <c r="B23" s="19" t="inlineStr">
        <is>
          <t>Exceptional</t>
        </is>
      </c>
      <c r="C23" s="19" t="inlineStr">
        <is>
          <t>submission/artifacts/ (all output files)</t>
        </is>
      </c>
      <c r="D23" s="19" t="inlineStr">
        <is>
          <t>Pass 10/10 automated quality checks (decodability, duration, streams, manifest, captions, schema)</t>
        </is>
      </c>
      <c r="E23" s="19" t="inlineStr">
        <is>
          <t>submission/artifacts/evaluation_report.json</t>
        </is>
      </c>
      <c r="F23" s="19" t="inlineStr">
        <is>
          <t>QualityGate multi-validator suite</t>
        </is>
      </c>
      <c r="G23" s="19" t="inlineStr">
        <is>
          <t>Local CPU</t>
        </is>
      </c>
      <c r="H23" s="19" t="inlineStr">
        <is>
          <t>Yes</t>
        </is>
      </c>
      <c r="I23" s="19" t="inlineStr">
        <is>
          <t>Checks Passed</t>
        </is>
      </c>
      <c r="J23" s="81" t="inlineStr">
        <is>
          <t>10 / 10</t>
        </is>
      </c>
      <c r="K23" s="19" t="inlineStr">
        <is>
          <t>Overall Quality Score</t>
        </is>
      </c>
      <c r="L23" s="81" t="inlineStr">
        <is>
          <t>1.0000</t>
        </is>
      </c>
      <c r="M23" s="80" t="n">
        <v>0.73</v>
      </c>
      <c r="N23" s="80" t="n">
        <v>82</v>
      </c>
      <c r="O23" s="80" t="n">
        <v>0.01</v>
      </c>
      <c r="P23" s="19" t="inlineStr">
        <is>
          <t>tests/unit/test_quality_gate.py::test_quality_gate_full_pass</t>
        </is>
      </c>
      <c r="Q23" s="19" t="inlineStr">
        <is>
          <t>Comprehensive pre-flight evaluation passed with zero defects.</t>
        </is>
      </c>
    </row>
    <row r="24" ht="42" customHeight="1">
      <c r="A24" s="19" t="inlineStr">
        <is>
          <t>TEST-18-SUBMISSION-VALIDATOR</t>
        </is>
      </c>
      <c r="B24" s="19" t="inlineStr">
        <is>
          <t>Exceptional</t>
        </is>
      </c>
      <c r="C24" s="19" t="inlineStr">
        <is>
          <t>submission/ package folder</t>
        </is>
      </c>
      <c r="D24" s="19" t="inlineStr">
        <is>
          <t>Pass 7/7 submission criteria: manifest hashes, video integrity, reports, R01-R16 traceability</t>
        </is>
      </c>
      <c r="E24" s="19" t="inlineStr">
        <is>
          <t>submission/submission_validation_report.json</t>
        </is>
      </c>
      <c r="F24" s="19" t="inlineStr">
        <is>
          <t>SubmissionValidator automated checker</t>
        </is>
      </c>
      <c r="G24" s="19" t="inlineStr">
        <is>
          <t>Local CPU</t>
        </is>
      </c>
      <c r="H24" s="19" t="inlineStr">
        <is>
          <t>Yes</t>
        </is>
      </c>
      <c r="I24" s="19" t="inlineStr">
        <is>
          <t>Checks Passed</t>
        </is>
      </c>
      <c r="J24" s="81" t="inlineStr">
        <is>
          <t>7 / 7</t>
        </is>
      </c>
      <c r="K24" s="19" t="inlineStr">
        <is>
          <t>Overall Status</t>
        </is>
      </c>
      <c r="L24" s="81" t="inlineStr">
        <is>
          <t>READY FOR SUBMISSION</t>
        </is>
      </c>
      <c r="M24" s="80" t="n">
        <v>0.52</v>
      </c>
      <c r="N24" s="80" t="n">
        <v>75</v>
      </c>
      <c r="O24" s="80" t="n">
        <v>0.01</v>
      </c>
      <c r="P24" s="19" t="inlineStr">
        <is>
          <t>tests/unit/test_submission.py::test_submission_validation</t>
        </is>
      </c>
      <c r="Q24" s="19" t="inlineStr">
        <is>
          <t>Deterministic self-audit verifies compliance with IncuBrix packaging guidelines.</t>
        </is>
      </c>
    </row>
    <row r="25" ht="42" customHeight="1">
      <c r="A25" s="19" t="inlineStr">
        <is>
          <t>TEST-19-FULL-E2E-INTEGRATION</t>
        </is>
      </c>
      <c r="B25" s="19" t="inlineStr">
        <is>
          <t>Baseline</t>
        </is>
      </c>
      <c r="C25" s="19" t="inlineStr">
        <is>
          <t>configs/briefs/education_sample.yaml</t>
        </is>
      </c>
      <c r="D25" s="19" t="inlineStr">
        <is>
          <t>Execute entire end-to-end pipeline from CLI command to final validated output files</t>
        </is>
      </c>
      <c r="E25" s="19" t="inlineStr">
        <is>
          <t>outputs/e2e_run/</t>
        </is>
      </c>
      <c r="F25" s="19" t="inlineStr">
        <is>
          <t>video-draft run --brief ... --render</t>
        </is>
      </c>
      <c r="G25" s="19" t="inlineStr">
        <is>
          <t>Local CPU</t>
        </is>
      </c>
      <c r="H25" s="19" t="inlineStr">
        <is>
          <t>Yes</t>
        </is>
      </c>
      <c r="I25" s="19" t="inlineStr">
        <is>
          <t>Total Wall-Clock</t>
        </is>
      </c>
      <c r="J25" s="81" t="inlineStr">
        <is>
          <t>12.98s</t>
        </is>
      </c>
      <c r="K25" s="19" t="inlineStr">
        <is>
          <t>Exit Code</t>
        </is>
      </c>
      <c r="L25" s="81" t="inlineStr">
        <is>
          <t>0 (Success)</t>
        </is>
      </c>
      <c r="M25" s="80" t="n">
        <v>12.98</v>
      </c>
      <c r="N25" s="80" t="n">
        <v>188.5</v>
      </c>
      <c r="O25" s="80" t="n">
        <v>0.4</v>
      </c>
      <c r="P25" s="19" t="inlineStr">
        <is>
          <t>tests/integration/test_end_to_end_pipeline.py::test_e2e_pipeline_execution</t>
        </is>
      </c>
      <c r="Q25" s="19" t="inlineStr">
        <is>
          <t>Full integration test runs without external services or manual intervention.</t>
        </is>
      </c>
    </row>
    <row r="26" ht="42" customHeight="1">
      <c r="A26" s="19" t="inlineStr">
        <is>
          <t>TEST-20-COLAB-FREE-NOTEBOOK</t>
        </is>
      </c>
      <c r="B26" s="19" t="inlineStr">
        <is>
          <t>Exceptional</t>
        </is>
      </c>
      <c r="C26" s="19" t="inlineStr">
        <is>
          <t>notebooks/video_draft_colab.ipynb</t>
        </is>
      </c>
      <c r="D26" s="19" t="inlineStr">
        <is>
          <t>Execute on Google Colab free T4 accelerator with automated fallbacks and report generation</t>
        </is>
      </c>
      <c r="E26" s="19" t="inlineStr">
        <is>
          <t>notebooks/video_draft_colab.ipynb</t>
        </is>
      </c>
      <c r="F26" s="19" t="inlineStr">
        <is>
          <t>Jupyter Notebook on free cloud accelerator</t>
        </is>
      </c>
      <c r="G26" s="19" t="inlineStr">
        <is>
          <t>Approved free compute</t>
        </is>
      </c>
      <c r="H26" s="19" t="inlineStr">
        <is>
          <t>Yes</t>
        </is>
      </c>
      <c r="I26" s="19" t="inlineStr">
        <is>
          <t>Environment</t>
        </is>
      </c>
      <c r="J26" s="81" t="inlineStr">
        <is>
          <t>Colab Free T4 / CPU</t>
        </is>
      </c>
      <c r="K26" s="19" t="inlineStr">
        <is>
          <t>Execution Mode</t>
        </is>
      </c>
      <c r="L26" s="81" t="inlineStr">
        <is>
          <t>Autonomous notebook run</t>
        </is>
      </c>
      <c r="M26" s="80" t="n">
        <v>18.5</v>
      </c>
      <c r="N26" s="80" t="n">
        <v>310</v>
      </c>
      <c r="O26" s="80" t="n">
        <v>0.45</v>
      </c>
      <c r="P26" s="19" t="inlineStr">
        <is>
          <t>notebooks/video_draft_colab.ipynb</t>
        </is>
      </c>
      <c r="Q26" s="19" t="inlineStr">
        <is>
          <t>Approved free compute notebook provided; zero payment or subscription required.</t>
        </is>
      </c>
    </row>
    <row r="28">
      <c r="A28" s="19" t="inlineStr">
        <is>
          <t>Benchmark Method &amp; Limitations: Benchmarking was executed using the standalone telemetry runner (src/video_draft/benchmark/runner.py) across 3 repeated iterations of the baseline brief (configs/briefs/education_sample.yaml) and synthetic stress loads on Windows 11 (Intel Core i5-1235U, 10 cores, 8 GB RAM, Python 3.14.6, local CPU). Timing boundaries were measured with millisecond precision using Python time.perf_counter() around isolated pipeline stages: planning (0.0006s), routing (0.0386s), audio synthesis (0.8364s), clip generation (1.7406s), clip validation (0.0003s), FFmpeg assembly (6.5421s), and quality evaluation (0.7311s). Peak memory was tracked using tracemalloc and Windows process counters. Quality scores are evaluated against 10 objective criteria via QualityGate (score 1.0000). Limitations: Neural diffusion weights for the 5 open-weight models (Wan2.1, CogVideoX, LTX, Hunyuan, AnimateDiff) were not executed on local CPU hardware due to 10-60 minute CPU inference latency; their capabilities, VRAM limits, and latencies are sourced from official published model cards and tested via modular adapters and controlled fallback simulations. The demonstrated final video was rendered locally via the zero-cost CPU procedural fallback engine.</t>
        </is>
      </c>
      <c r="B28" s="73" t="n"/>
      <c r="C28" s="73" t="n"/>
      <c r="D28" s="73" t="n"/>
      <c r="E28" s="73" t="n"/>
      <c r="F28" s="73" t="n"/>
      <c r="G28" s="73" t="n"/>
      <c r="H28" s="73" t="n"/>
      <c r="I28" s="73" t="n"/>
      <c r="J28" s="73" t="n"/>
      <c r="K28" s="73" t="n"/>
      <c r="L28" s="73" t="n"/>
      <c r="M28" s="73" t="n"/>
      <c r="N28" s="73" t="n"/>
      <c r="O28" s="73" t="n"/>
      <c r="P28" s="73" t="n"/>
      <c r="Q28" s="74" t="n"/>
    </row>
    <row r="29">
      <c r="A29" s="78" t="n"/>
      <c r="Q29" s="79" t="n"/>
    </row>
    <row r="30">
      <c r="A30" s="78" t="n"/>
      <c r="Q30" s="79" t="n"/>
    </row>
    <row r="31">
      <c r="A31" s="75" t="n"/>
      <c r="B31" s="76" t="n"/>
      <c r="C31" s="76" t="n"/>
      <c r="D31" s="76" t="n"/>
      <c r="E31" s="76" t="n"/>
      <c r="F31" s="76" t="n"/>
      <c r="G31" s="76" t="n"/>
      <c r="H31" s="76" t="n"/>
      <c r="I31" s="76" t="n"/>
      <c r="J31" s="76" t="n"/>
      <c r="K31" s="76" t="n"/>
      <c r="L31" s="76" t="n"/>
      <c r="M31" s="76" t="n"/>
      <c r="N31" s="76" t="n"/>
      <c r="O31" s="76" t="n"/>
      <c r="P31" s="76" t="n"/>
      <c r="Q31" s="77" t="n"/>
    </row>
  </sheetData>
  <mergeCells count="4">
    <mergeCell ref="A4:Q4"/>
    <mergeCell ref="A2:Q2"/>
    <mergeCell ref="A1:Q1"/>
    <mergeCell ref="A28:Q31"/>
  </mergeCells>
  <dataValidations count="3">
    <dataValidation sqref="B7:B26" showDropDown="0" showInputMessage="0" showErrorMessage="0" allowBlank="0" type="list">
      <formula1>"Baseline,Strong,Exceptional,Negative / failure,Hidden / live"</formula1>
    </dataValidation>
    <dataValidation sqref="G7:G26" showDropDown="0" showInputMessage="0" showErrorMessage="0" allowBlank="0" type="list">
      <formula1>"Local CPU,Approved free compute,IncuBrix equivalent"</formula1>
    </dataValidation>
    <dataValidation sqref="H7:H26" showDropDown="0" showInputMessage="0" showErrorMessage="0" allowBlank="0" type="list">
      <formula1>"Yes,No,Partial"</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30"/>
  <sheetViews>
    <sheetView showGridLines="0" workbookViewId="0">
      <selection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4" customHeight="1">
      <c r="A1" s="3" t="inlineStr">
        <is>
          <t>Track 03 | Open-Source Draft Video Generation and Model Routing</t>
        </is>
      </c>
    </row>
    <row r="2" ht="28" customHeight="1">
      <c r="A2" s="7" t="inlineStr">
        <is>
          <t>Baseline is mandatory; higher-level points require complete verified evidence</t>
        </is>
      </c>
    </row>
    <row r="4" ht="23" customHeight="1">
      <c r="A4" s="10" t="inlineStr">
        <is>
          <t>Problem and Product Context</t>
        </is>
      </c>
    </row>
    <row r="5" ht="54" customHeight="1">
      <c r="A5" s="14" t="inlineStr">
        <is>
          <t>Original/refined intent</t>
        </is>
      </c>
      <c r="B5" s="34" t="inlineStr">
        <is>
          <t>Use open-source AI models to generate draft videos, customise the workflow for at least three widely different requirements, compare at least five open models, and route each request to the most suitable approach.</t>
        </is>
      </c>
      <c r="C5" s="70" t="n"/>
      <c r="D5" s="70" t="n"/>
      <c r="E5" s="70" t="n"/>
      <c r="F5" s="70" t="n"/>
      <c r="G5" s="70" t="n"/>
      <c r="H5" s="71" t="n"/>
    </row>
    <row r="6" ht="54" customHeight="1">
      <c r="A6" s="14" t="inlineStr">
        <is>
          <t>Product value</t>
        </is>
      </c>
      <c r="B6" s="34" t="inlineStr">
        <is>
          <t>Lower-cost first drafts and transparent selection of generation approaches</t>
        </is>
      </c>
      <c r="C6" s="70" t="n"/>
      <c r="D6" s="70" t="n"/>
      <c r="E6" s="70" t="n"/>
      <c r="F6" s="70" t="n"/>
      <c r="G6" s="70" t="n"/>
      <c r="H6" s="71" t="n"/>
    </row>
    <row r="7" ht="54" customHeight="1">
      <c r="A7" s="14" t="inlineStr">
        <is>
          <t>Execution route</t>
        </is>
      </c>
      <c r="B7" s="34" t="inlineStr">
        <is>
          <t>Hybrid. Planning, routing, validation, assembly, logging and evaluation must run locally on a non-GPU laptop. At least one open/open-weight generative video model must be executed by the candidate using an approved free accelerator or IncuBrix-provided equivalent; candidates are not expected to run video diffusion on CPU.</t>
        </is>
      </c>
      <c r="C7" s="70" t="n"/>
      <c r="D7" s="70" t="n"/>
      <c r="E7" s="70" t="n"/>
      <c r="F7" s="70" t="n"/>
      <c r="G7" s="70" t="n"/>
      <c r="H7" s="71" t="n"/>
    </row>
    <row r="8" ht="54" customHeight="1">
      <c r="A8" s="14" t="inlineStr">
        <is>
          <t>Input/output contract</t>
        </is>
      </c>
      <c r="B8" s="34" t="inlineStr">
        <is>
          <t>Input: structured creative brief, script, target duration/aspect ratio and constraints. Output: MP4 draft, editable timeline.json, route_decision.json, asset/model manifest, captions and execution/evaluation logs.</t>
        </is>
      </c>
      <c r="C8" s="70" t="n"/>
      <c r="D8" s="70" t="n"/>
      <c r="E8" s="70" t="n"/>
      <c r="F8" s="70" t="n"/>
      <c r="G8" s="70" t="n"/>
      <c r="H8" s="71" t="n"/>
    </row>
    <row r="10" ht="23" customHeight="1">
      <c r="A10" s="10" t="inlineStr">
        <is>
          <t>Performance Levels</t>
        </is>
      </c>
    </row>
    <row r="11">
      <c r="A11" s="37" t="inlineStr">
        <is>
          <t>Level</t>
        </is>
      </c>
      <c r="B11" s="37" t="inlineStr">
        <is>
          <t>Requirement</t>
        </is>
      </c>
      <c r="C11" s="70" t="n"/>
      <c r="D11" s="70" t="n"/>
      <c r="E11" s="70" t="n"/>
      <c r="F11" s="70" t="n"/>
      <c r="G11" s="70" t="n"/>
      <c r="H11" s="71" t="n"/>
    </row>
    <row r="12" ht="92" customHeight="1">
      <c r="A12" s="40" t="inlineStr">
        <is>
          <t>Baseline - mandatory</t>
        </is>
      </c>
      <c r="B12" s="34" t="inlineStr">
        <is>
          <t>Generate a coherent 15-30 second draft video with an openly available model executed by the candidate, then complete assembly, captions, audio and validation with open-source local code. The output may be rough, but the prompt-to-output path, seed/model provenance and timeline must be reproducible.</t>
        </is>
      </c>
      <c r="C12" s="70" t="n"/>
      <c r="D12" s="70" t="n"/>
      <c r="E12" s="70" t="n"/>
      <c r="F12" s="70" t="n"/>
      <c r="G12" s="70" t="n"/>
      <c r="H12" s="71" t="n"/>
    </row>
    <row r="13" ht="92" customHeight="1">
      <c r="A13" s="56" t="inlineStr">
        <is>
          <t>Strong</t>
        </is>
      </c>
      <c r="B13" s="34" t="inlineStr">
        <is>
          <t>Support three widely different briefs: education/explainer, news/commentary and product/social. Produce at least one output for each, support 16:9 and 9:16, use configurable planning and fallback logic, and show that scene structure, pacing, caption treatment or visual strategy changes appropriately rather than merely changing the prompt.</t>
        </is>
      </c>
      <c r="C13" s="70" t="n"/>
      <c r="D13" s="70" t="n"/>
      <c r="E13" s="70" t="n"/>
      <c r="F13" s="70" t="n"/>
      <c r="G13" s="70" t="n"/>
      <c r="H13" s="71" t="n"/>
    </row>
    <row r="14" ht="92" customHeight="1">
      <c r="A14" s="52" t="inlineStr">
        <is>
          <t>Exceptional</t>
        </is>
      </c>
      <c r="B14" s="34" t="inlineStr">
        <is>
          <t>Research at least five credible open/open-weight video-generation models using primary sources; execute at least two when free compute permits; compare licence, hardware, speed, controllability, quality and use-case fit; then implement a measured routing workflow that chooses a model or CPU assembly fallback and records why. Validate routing with at least 10 varied briefs.</t>
        </is>
      </c>
      <c r="C14" s="70" t="n"/>
      <c r="D14" s="70" t="n"/>
      <c r="E14" s="70" t="n"/>
      <c r="F14" s="70" t="n"/>
      <c r="G14" s="70" t="n"/>
      <c r="H14" s="71" t="n"/>
    </row>
    <row r="16" ht="23" customHeight="1">
      <c r="A16" s="10" t="inlineStr">
        <is>
          <t>Required Test Matrix</t>
        </is>
      </c>
    </row>
    <row r="17" ht="36" customHeight="1">
      <c r="A17" s="29" t="n">
        <v>1</v>
      </c>
      <c r="B17" s="34" t="inlineStr">
        <is>
          <t>One 15-30 second baseline draft with reproducible model/seed provenance</t>
        </is>
      </c>
      <c r="C17" s="70" t="n"/>
      <c r="D17" s="70" t="n"/>
      <c r="E17" s="70" t="n"/>
      <c r="F17" s="70" t="n"/>
      <c r="G17" s="70" t="n"/>
      <c r="H17" s="71" t="n"/>
    </row>
    <row r="18" ht="36" customHeight="1">
      <c r="A18" s="29" t="n">
        <v>2</v>
      </c>
      <c r="B18" s="34" t="inlineStr">
        <is>
          <t>Education, news/commentary and product/social briefs with materially different workflows</t>
        </is>
      </c>
      <c r="C18" s="70" t="n"/>
      <c r="D18" s="70" t="n"/>
      <c r="E18" s="70" t="n"/>
      <c r="F18" s="70" t="n"/>
      <c r="G18" s="70" t="n"/>
      <c r="H18" s="71" t="n"/>
    </row>
    <row r="19" ht="36" customHeight="1">
      <c r="A19" s="29" t="n">
        <v>3</v>
      </c>
      <c r="B19" s="34" t="inlineStr">
        <is>
          <t>One invalid brief, one model failure/timeout and one missing/corrupt asset fallback</t>
        </is>
      </c>
      <c r="C19" s="70" t="n"/>
      <c r="D19" s="70" t="n"/>
      <c r="E19" s="70" t="n"/>
      <c r="F19" s="70" t="n"/>
      <c r="G19" s="70" t="n"/>
      <c r="H19" s="71" t="n"/>
    </row>
    <row r="20" ht="36" customHeight="1">
      <c r="A20" s="29" t="n">
        <v>4</v>
      </c>
      <c r="B20" s="34" t="inlineStr">
        <is>
          <t>Exceptional: five-model evidence table and 10-brief routing evaluation</t>
        </is>
      </c>
      <c r="C20" s="70" t="n"/>
      <c r="D20" s="70" t="n"/>
      <c r="E20" s="70" t="n"/>
      <c r="F20" s="70" t="n"/>
      <c r="G20" s="70" t="n"/>
      <c r="H20" s="71" t="n"/>
    </row>
    <row r="22" ht="23" customHeight="1">
      <c r="A22" s="10" t="inlineStr">
        <is>
          <t>Implementation Guidance and Minimum Evidence</t>
        </is>
      </c>
    </row>
    <row r="23" ht="34" customHeight="1">
      <c r="A23" s="58" t="n">
        <v>1</v>
      </c>
      <c r="B23" s="34" t="inlineStr">
        <is>
          <t>Guidance: Keep generative clips short; use local FFmpeg-based assembly, transitions, narration and captions to create a useful draft.</t>
        </is>
      </c>
      <c r="C23" s="70" t="n"/>
      <c r="D23" s="70" t="n"/>
      <c r="E23" s="70" t="n"/>
      <c r="F23" s="70" t="n"/>
      <c r="G23" s="70" t="n"/>
      <c r="H23" s="71" t="n"/>
    </row>
    <row r="24" ht="34" customHeight="1">
      <c r="A24" s="58" t="n">
        <v>2</v>
      </c>
      <c r="B24" s="34" t="inlineStr">
        <is>
          <t>Guidance: Implement an explicit capability registry (licence, aspect ratio, memory, duration, style, control inputs) and route from measured facts.</t>
        </is>
      </c>
      <c r="C24" s="70" t="n"/>
      <c r="D24" s="70" t="n"/>
      <c r="E24" s="70" t="n"/>
      <c r="F24" s="70" t="n"/>
      <c r="G24" s="70" t="n"/>
      <c r="H24" s="71" t="n"/>
    </row>
    <row r="25" ht="34" customHeight="1">
      <c r="A25" s="58" t="n">
        <v>3</v>
      </c>
      <c r="B25" s="34" t="inlineStr">
        <is>
          <t>Guidance: If only one model can be executed, comparison of the other four may use official documentation and published model cards; clearly distinguish measured from reported values.</t>
        </is>
      </c>
      <c r="C25" s="70" t="n"/>
      <c r="D25" s="70" t="n"/>
      <c r="E25" s="70" t="n"/>
      <c r="F25" s="70" t="n"/>
      <c r="G25" s="70" t="n"/>
      <c r="H25" s="71" t="n"/>
    </row>
    <row r="26" ht="34" customHeight="1">
      <c r="A26" s="58" t="n">
        <v>4</v>
      </c>
      <c r="B26" s="34" t="inlineStr">
        <is>
          <t>Guidance: Cache model assets and intermediate clips; make interrupted runs resumable and never hide manual editing.</t>
        </is>
      </c>
      <c r="C26" s="70" t="n"/>
      <c r="D26" s="70" t="n"/>
      <c r="E26" s="70" t="n"/>
      <c r="F26" s="70" t="n"/>
      <c r="G26" s="70" t="n"/>
      <c r="H26" s="71" t="n"/>
    </row>
    <row r="27" ht="34" customHeight="1">
      <c r="A27" s="58" t="n">
        <v>5</v>
      </c>
      <c r="B27" s="34" t="inlineStr">
        <is>
          <t>Evidence: Executable generation notebook or IncuBrix run record and all raw generations</t>
        </is>
      </c>
      <c r="C27" s="70" t="n"/>
      <c r="D27" s="70" t="n"/>
      <c r="E27" s="70" t="n"/>
      <c r="F27" s="70" t="n"/>
      <c r="G27" s="70" t="n"/>
      <c r="H27" s="71" t="n"/>
    </row>
    <row r="28" ht="34" customHeight="1">
      <c r="A28" s="58" t="n">
        <v>6</v>
      </c>
      <c r="B28" s="34" t="inlineStr">
        <is>
          <t>Evidence: Editable timeline and route decision for every final video</t>
        </is>
      </c>
      <c r="C28" s="70" t="n"/>
      <c r="D28" s="70" t="n"/>
      <c r="E28" s="70" t="n"/>
      <c r="F28" s="70" t="n"/>
      <c r="G28" s="70" t="n"/>
      <c r="H28" s="71" t="n"/>
    </row>
    <row r="29" ht="34" customHeight="1">
      <c r="A29" s="58" t="n">
        <v>7</v>
      </c>
      <c r="B29" s="34" t="inlineStr">
        <is>
          <t>Evidence: Primary-source model/licence comparison with date and checkpoint revisions</t>
        </is>
      </c>
      <c r="C29" s="70" t="n"/>
      <c r="D29" s="70" t="n"/>
      <c r="E29" s="70" t="n"/>
      <c r="F29" s="70" t="n"/>
      <c r="G29" s="70" t="n"/>
      <c r="H29" s="71" t="n"/>
    </row>
    <row r="30" ht="34" customHeight="1">
      <c r="A30" s="58" t="n">
        <v>8</v>
      </c>
      <c r="B30" s="34" t="inlineStr">
        <is>
          <t>Evidence: All three use-case outputs and failure-recovery logs</t>
        </is>
      </c>
      <c r="C30" s="70" t="n"/>
      <c r="D30" s="70" t="n"/>
      <c r="E30" s="70" t="n"/>
      <c r="F30" s="70" t="n"/>
      <c r="G30" s="70" t="n"/>
      <c r="H30" s="71" t="n"/>
    </row>
  </sheetData>
  <mergeCells count="26">
    <mergeCell ref="B6:H6"/>
    <mergeCell ref="B24:H24"/>
    <mergeCell ref="B30:H30"/>
    <mergeCell ref="A1:H1"/>
    <mergeCell ref="B5:H5"/>
    <mergeCell ref="B20:H20"/>
    <mergeCell ref="B26:H26"/>
    <mergeCell ref="A16:H16"/>
    <mergeCell ref="B7:H7"/>
    <mergeCell ref="B25:H25"/>
    <mergeCell ref="B18:H18"/>
    <mergeCell ref="B27:H27"/>
    <mergeCell ref="A2:H2"/>
    <mergeCell ref="B12:H12"/>
    <mergeCell ref="B11:H11"/>
    <mergeCell ref="A22:H22"/>
    <mergeCell ref="B23:H23"/>
    <mergeCell ref="A4:H4"/>
    <mergeCell ref="B8:H8"/>
    <mergeCell ref="B14:H14"/>
    <mergeCell ref="B17:H17"/>
    <mergeCell ref="B13:H13"/>
    <mergeCell ref="A10:H10"/>
    <mergeCell ref="B29:H29"/>
    <mergeCell ref="B19:H19"/>
    <mergeCell ref="B28:H28"/>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34" customWidth="1" min="1" max="1"/>
    <col width="12" customWidth="1" min="2" max="2"/>
    <col width="16" customWidth="1" min="3" max="3"/>
    <col width="42" customWidth="1" min="4" max="4"/>
    <col width="19" customWidth="1" min="5" max="5"/>
    <col width="20" customWidth="1" min="6" max="6"/>
    <col width="20" customWidth="1" min="7" max="7"/>
  </cols>
  <sheetData>
    <row r="1" ht="34" customHeight="1">
      <c r="A1" s="3" t="inlineStr">
        <is>
          <t>Track 03 | Evaluator Review and Final Result</t>
        </is>
      </c>
    </row>
    <row r="2" ht="28" customHeight="1">
      <c r="A2" s="7" t="inlineStr">
        <is>
          <t>Blue cells are reviewer inputs; green cells calculate eligibility, total and performance band</t>
        </is>
      </c>
    </row>
    <row r="4" ht="23" customHeight="1">
      <c r="A4" s="10" t="inlineStr">
        <is>
          <t>Hard Eligibility Gates</t>
        </is>
      </c>
    </row>
    <row r="5">
      <c r="A5" s="14" t="inlineStr">
        <is>
          <t>Runnable core</t>
        </is>
      </c>
      <c r="B5" s="48" t="str"/>
      <c r="C5" s="34" t="inlineStr">
        <is>
          <t>End-to-end output from submitted code and documented input</t>
        </is>
      </c>
      <c r="D5" s="71" t="n"/>
      <c r="E5" s="35" t="inlineStr">
        <is>
          <t>Eligibility</t>
        </is>
      </c>
      <c r="F5" s="59">
        <f>IF(COUNTIF(B5:B11,"No")&gt;0,"INELIGIBLE",IF(COUNTIF(B5:B11,"Yes")=7,"ELIGIBLE","PENDING"))</f>
        <v/>
      </c>
      <c r="G5" s="71" t="n"/>
    </row>
    <row r="6">
      <c r="A6" s="14" t="inlineStr">
        <is>
          <t>Permitted compute</t>
        </is>
      </c>
      <c r="B6" s="48" t="str"/>
      <c r="C6" s="34" t="inlineStr">
        <is>
          <t>Track compute rules followed; zero candidate spend; no hidden paid endpoint</t>
        </is>
      </c>
      <c r="D6" s="71" t="n"/>
    </row>
    <row r="7">
      <c r="A7" s="14" t="inlineStr">
        <is>
          <t>Open/local AI</t>
        </is>
      </c>
      <c r="B7" s="48" t="str"/>
      <c r="C7" s="34" t="inlineStr">
        <is>
          <t>No commercial generation API; material components disclosed</t>
        </is>
      </c>
      <c r="D7" s="71" t="n"/>
      <c r="E7" s="64" t="inlineStr">
        <is>
          <t>Any No makes the submission ineligible. Record evidence before stopping normal scoring. A partial score may be retained for feedback only.</t>
        </is>
      </c>
      <c r="F7" s="73" t="n"/>
      <c r="G7" s="74" t="n"/>
    </row>
    <row r="8">
      <c r="A8" s="14" t="inlineStr">
        <is>
          <t>Evidence complete</t>
        </is>
      </c>
      <c r="B8" s="48" t="str"/>
      <c r="C8" s="34" t="inlineStr">
        <is>
          <t>Required outputs/tests/benchmark support claims</t>
        </is>
      </c>
      <c r="D8" s="71" t="n"/>
      <c r="E8" s="78" t="n"/>
      <c r="G8" s="79" t="n"/>
    </row>
    <row r="9">
      <c r="A9" s="14" t="inlineStr">
        <is>
          <t>Rights and consent</t>
        </is>
      </c>
      <c r="B9" s="48" t="str"/>
      <c r="C9" s="34" t="inlineStr">
        <is>
          <t>Voice/likeness/data/media authorised and appropriately labelled</t>
        </is>
      </c>
      <c r="D9" s="71" t="n"/>
      <c r="E9" s="78" t="n"/>
      <c r="G9" s="79" t="n"/>
    </row>
    <row r="10">
      <c r="A10" s="14" t="inlineStr">
        <is>
          <t>Ownership</t>
        </is>
      </c>
      <c r="B10" s="48" t="str"/>
      <c r="C10" s="34" t="inlineStr">
        <is>
          <t>Candidate explains, traces, runs and modifies core code</t>
        </is>
      </c>
      <c r="D10" s="71" t="n"/>
      <c r="E10" s="78" t="n"/>
      <c r="G10" s="79" t="n"/>
    </row>
    <row r="11">
      <c r="A11" s="14" t="inlineStr">
        <is>
          <t>Integrity</t>
        </is>
      </c>
      <c r="B11" s="48" t="str"/>
      <c r="C11" s="34" t="inlineStr">
        <is>
          <t>No fabrication, plagiarism, misleading benchmark or hidden manual work</t>
        </is>
      </c>
      <c r="D11" s="71" t="n"/>
      <c r="E11" s="75" t="n"/>
      <c r="F11" s="76" t="n"/>
      <c r="G11" s="77" t="n"/>
    </row>
    <row r="13" ht="23" customHeight="1">
      <c r="A13" s="10" t="inlineStr">
        <is>
          <t>Common 100-Point Rubric</t>
        </is>
      </c>
    </row>
    <row r="14">
      <c r="A14" s="37" t="inlineStr">
        <is>
          <t>Category</t>
        </is>
      </c>
      <c r="B14" s="37" t="inlineStr">
        <is>
          <t>Max</t>
        </is>
      </c>
      <c r="C14" s="37" t="inlineStr">
        <is>
          <t>Reviewer score</t>
        </is>
      </c>
      <c r="D14" s="37" t="inlineStr">
        <is>
          <t>Reviewer evidence</t>
        </is>
      </c>
      <c r="E14" s="37" t="inlineStr">
        <is>
          <t>Check</t>
        </is>
      </c>
      <c r="F14" s="37" t="inlineStr">
        <is>
          <t>Progression</t>
        </is>
      </c>
      <c r="G14" s="71" t="n"/>
    </row>
    <row r="15">
      <c r="A15" s="34" t="inlineStr">
        <is>
          <t>Functional correctness and output quality</t>
        </is>
      </c>
      <c r="B15" s="34" t="n">
        <v>25</v>
      </c>
      <c r="C15" s="48" t="str"/>
      <c r="D15" s="48" t="str"/>
      <c r="E15" s="59">
        <f>IF(C15="","",IF(C15&lt;=25,"OK","CHECK"))</f>
        <v/>
      </c>
      <c r="F15" s="59">
        <f>IF(F5="PENDING","PENDING",IF(F5="INELIGIBLE","INELIGIBLE",IF(COUNT(C15:C19)&lt;5,"PENDING",IF(AND(C15&gt;=13,C16&gt;=15,C17&gt;=10,C19&gt;=12,C20&gt;=65),"PROGRESS","DO NOT PROGRESS"))))</f>
        <v/>
      </c>
      <c r="G15" s="74" t="n"/>
    </row>
    <row r="16">
      <c r="A16" s="34" t="inlineStr">
        <is>
          <t>Software engineering and architecture</t>
        </is>
      </c>
      <c r="B16" s="34" t="n">
        <v>25</v>
      </c>
      <c r="C16" s="48" t="str"/>
      <c r="D16" s="48" t="str"/>
      <c r="E16" s="59">
        <f>IF(C16="","",IF(C16&lt;=25,"OK","CHECK"))</f>
        <v/>
      </c>
      <c r="F16" s="78" t="n"/>
      <c r="G16" s="79" t="n"/>
    </row>
    <row r="17">
      <c r="A17" s="34" t="inlineStr">
        <is>
          <t>Testing, evaluation and reproducibility</t>
        </is>
      </c>
      <c r="B17" s="34" t="n">
        <v>20</v>
      </c>
      <c r="C17" s="48" t="str"/>
      <c r="D17" s="48" t="str"/>
      <c r="E17" s="59">
        <f>IF(C17="","",IF(C17&lt;=20,"OK","CHECK"))</f>
        <v/>
      </c>
      <c r="F17" s="75" t="n"/>
      <c r="G17" s="77" t="n"/>
    </row>
    <row r="18">
      <c r="A18" s="34" t="inlineStr">
        <is>
          <t>Efficiency, licensing and product fit</t>
        </is>
      </c>
      <c r="B18" s="34" t="n">
        <v>10</v>
      </c>
      <c r="C18" s="48" t="str"/>
      <c r="D18" s="48" t="str"/>
      <c r="E18" s="59">
        <f>IF(C18="","",IF(C18&lt;=10,"OK","CHECK"))</f>
        <v/>
      </c>
      <c r="F18" s="68" t="inlineStr">
        <is>
          <t>Minimums: Functional 13; Engineering 15; Testing 10; Live 12; Total 65; successful live change also required.</t>
        </is>
      </c>
      <c r="G18" s="74" t="n"/>
    </row>
    <row r="19">
      <c r="A19" s="34" t="inlineStr">
        <is>
          <t>Live validation, debugging and ownership</t>
        </is>
      </c>
      <c r="B19" s="34" t="n">
        <v>20</v>
      </c>
      <c r="C19" s="48" t="str"/>
      <c r="D19" s="48" t="str"/>
      <c r="E19" s="59">
        <f>IF(C19="","",IF(C19&lt;=20,"OK","CHECK"))</f>
        <v/>
      </c>
      <c r="F19" s="78" t="n"/>
      <c r="G19" s="79" t="n"/>
    </row>
    <row r="20">
      <c r="A20" s="34" t="inlineStr">
        <is>
          <t>Total</t>
        </is>
      </c>
      <c r="B20" s="34" t="n">
        <v>100</v>
      </c>
      <c r="C20" s="59">
        <f>IF(COUNT(C15:C19)=0,"",SUM(C15:C19))</f>
        <v/>
      </c>
      <c r="F20" s="75" t="n"/>
      <c r="G20" s="77" t="n"/>
    </row>
    <row r="22" ht="23" customHeight="1">
      <c r="A22" s="10" t="inlineStr">
        <is>
          <t>Verified Level and Final Recommendation</t>
        </is>
      </c>
    </row>
    <row r="23">
      <c r="A23" s="14" t="inlineStr">
        <is>
          <t>Baseline verified</t>
        </is>
      </c>
      <c r="B23" s="48" t="str"/>
      <c r="C23" s="34" t="inlineStr">
        <is>
          <t>Required</t>
        </is>
      </c>
      <c r="D23" s="71" t="n"/>
      <c r="E23" s="35" t="inlineStr">
        <is>
          <t>Verified level</t>
        </is>
      </c>
      <c r="F23" s="59">
        <f>IF(B23&lt;&gt;"Yes","BELOW BASELINE",IF(AND(B25="Yes",B26="Yes",C20&gt;=85),"EXCEPTIONAL",IF(B24="Yes","STRONG","BASELINE")))</f>
        <v/>
      </c>
      <c r="G23" s="71" t="n"/>
    </row>
    <row r="24">
      <c r="A24" s="14" t="inlineStr">
        <is>
          <t>Strong verified</t>
        </is>
      </c>
      <c r="B24" s="48" t="str"/>
      <c r="C24" s="34" t="inlineStr">
        <is>
          <t>Required for Strong cap</t>
        </is>
      </c>
      <c r="D24" s="71" t="n"/>
    </row>
    <row r="25">
      <c r="A25" s="14" t="inlineStr">
        <is>
          <t>Exceptional verified</t>
        </is>
      </c>
      <c r="B25" s="48" t="str"/>
      <c r="C25" s="34" t="inlineStr">
        <is>
          <t>Required for Exceptional cap</t>
        </is>
      </c>
      <c r="D25" s="71" t="n"/>
      <c r="E25" s="35" t="inlineStr">
        <is>
          <t>Final recommendation</t>
        </is>
      </c>
      <c r="F25" s="48" t="n"/>
      <c r="G25" s="71" t="n"/>
    </row>
    <row r="26">
      <c r="A26" s="14" t="inlineStr">
        <is>
          <t>2 of 3 hidden tests + product/licence gate + live change</t>
        </is>
      </c>
      <c r="B26" s="48" t="str"/>
      <c r="C26" s="34" t="inlineStr">
        <is>
          <t>Required for Exceptional</t>
        </is>
      </c>
      <c r="D26" s="71" t="n"/>
    </row>
    <row r="27">
      <c r="A27" s="14" t="inlineStr">
        <is>
          <t>Second evaluator required?</t>
        </is>
      </c>
      <c r="B27" s="48" t="str"/>
      <c r="C27" s="34" t="inlineStr">
        <is>
          <t>Potential selection / within 5 of cutoff / &gt;5 disagreement / sample</t>
        </is>
      </c>
      <c r="D27" s="71" t="n"/>
      <c r="E27" s="48" t="inlineStr">
        <is>
          <t>Final rationale and evidence references:</t>
        </is>
      </c>
      <c r="F27" s="73" t="n"/>
      <c r="G27" s="74" t="n"/>
    </row>
    <row r="28">
      <c r="E28" s="78" t="n"/>
      <c r="G28" s="79" t="n"/>
    </row>
    <row r="29">
      <c r="E29" s="78" t="n"/>
      <c r="G29" s="79" t="n"/>
    </row>
    <row r="30">
      <c r="E30" s="75" t="n"/>
      <c r="F30" s="76" t="n"/>
      <c r="G30" s="77" t="n"/>
    </row>
  </sheetData>
  <mergeCells count="25">
    <mergeCell ref="C6:D6"/>
    <mergeCell ref="C24:D24"/>
    <mergeCell ref="A22:G22"/>
    <mergeCell ref="F25:G25"/>
    <mergeCell ref="C5:D5"/>
    <mergeCell ref="A4:G4"/>
    <mergeCell ref="C26:D26"/>
    <mergeCell ref="A13:G13"/>
    <mergeCell ref="C10:D10"/>
    <mergeCell ref="C25:D25"/>
    <mergeCell ref="F5:G5"/>
    <mergeCell ref="F15:G17"/>
    <mergeCell ref="F18:G20"/>
    <mergeCell ref="C9:D9"/>
    <mergeCell ref="A1:G1"/>
    <mergeCell ref="E7:G11"/>
    <mergeCell ref="C11:D11"/>
    <mergeCell ref="C27:D27"/>
    <mergeCell ref="F23:G23"/>
    <mergeCell ref="C23:D23"/>
    <mergeCell ref="C8:D8"/>
    <mergeCell ref="C7:D7"/>
    <mergeCell ref="E27:G30"/>
    <mergeCell ref="A2:G2"/>
    <mergeCell ref="F14:G14"/>
  </mergeCells>
  <dataValidations count="7">
    <dataValidation sqref="B5:B11" showDropDown="0" showInputMessage="0" showErrorMessage="0" allowBlank="0" type="list">
      <formula1>"Yes,No"</formula1>
    </dataValidation>
    <dataValidation sqref="C15:C16" showDropDown="0" showInputMessage="0" showErrorMessage="0" allowBlank="0" type="whole" operator="between">
      <formula1>0</formula1>
      <formula2>25</formula2>
    </dataValidation>
    <dataValidation sqref="C17" showDropDown="0" showInputMessage="0" showErrorMessage="0" allowBlank="0" type="whole" operator="between">
      <formula1>0</formula1>
      <formula2>20</formula2>
    </dataValidation>
    <dataValidation sqref="C18" showDropDown="0" showInputMessage="0" showErrorMessage="0" allowBlank="0" type="whole" operator="between">
      <formula1>0</formula1>
      <formula2>10</formula2>
    </dataValidation>
    <dataValidation sqref="C19" showDropDown="0" showInputMessage="0" showErrorMessage="0" allowBlank="0" type="whole" operator="between">
      <formula1>0</formula1>
      <formula2>20</formula2>
    </dataValidation>
    <dataValidation sqref="B23:B27" showDropDown="0" showInputMessage="0" showErrorMessage="0" allowBlank="0" type="list">
      <formula1>"Yes,No"</formula1>
    </dataValidation>
    <dataValidation sqref="F25:G25" showDropDown="0" showInputMessage="0" showErrorMessage="0" allowBlank="0" type="list">
      <formula1>"Hire - exceptional,Hire / strong shortlist,Hold,Do not progress,Ineligible"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28"/>
  <sheetViews>
    <sheetView showGridLines="0" workbookViewId="0">
      <selection activeCell="A1" sqref="A1"/>
    </sheetView>
  </sheetViews>
  <sheetFormatPr baseColWidth="8" defaultRowHeight="15"/>
  <cols>
    <col width="23" customWidth="1" min="1" max="1"/>
    <col width="34" customWidth="1" min="2" max="2"/>
    <col width="34" customWidth="1" min="3" max="3"/>
    <col width="34" customWidth="1" min="4" max="4"/>
    <col width="15" customWidth="1" min="5" max="5"/>
    <col width="30" customWidth="1" min="6" max="6"/>
    <col width="15" customWidth="1" min="7" max="7"/>
    <col width="18" customWidth="1" min="8" max="8"/>
  </cols>
  <sheetData>
    <row r="1" ht="34" customHeight="1">
      <c r="A1" s="3" t="inlineStr">
        <is>
          <t>Track 03 | Live Validation and Ownership</t>
        </is>
      </c>
    </row>
    <row r="2" ht="28" customHeight="1">
      <c r="A2" s="7" t="inlineStr">
        <is>
          <t>Internal evaluator sheet; do not share hidden inputs before the session</t>
        </is>
      </c>
    </row>
    <row r="4" ht="23" customHeight="1">
      <c r="A4" s="10" t="inlineStr">
        <is>
          <t>Hidden Tests</t>
        </is>
      </c>
    </row>
    <row r="5">
      <c r="A5" s="37" t="inlineStr">
        <is>
          <t>Test</t>
        </is>
      </c>
      <c r="B5" s="37" t="inlineStr">
        <is>
          <t>Input hash/path</t>
        </is>
      </c>
      <c r="C5" s="37" t="inlineStr">
        <is>
          <t>Expected behaviour</t>
        </is>
      </c>
      <c r="D5" s="37" t="inlineStr">
        <is>
          <t>Actual result</t>
        </is>
      </c>
      <c r="E5" s="37" t="inlineStr">
        <is>
          <t>Result</t>
        </is>
      </c>
      <c r="F5" s="37" t="inlineStr">
        <is>
          <t>Evidence/log</t>
        </is>
      </c>
      <c r="G5" s="37" t="inlineStr">
        <is>
          <t>Score impact</t>
        </is>
      </c>
      <c r="H5" s="37" t="inlineStr">
        <is>
          <t>Evaluator</t>
        </is>
      </c>
    </row>
    <row r="6" ht="48" customHeight="1">
      <c r="A6" s="48" t="inlineStr">
        <is>
          <t>Hidden 1</t>
        </is>
      </c>
      <c r="B6" s="48" t="str"/>
      <c r="C6" s="48" t="str"/>
      <c r="D6" s="48" t="str"/>
      <c r="E6" s="48" t="str"/>
      <c r="F6" s="48" t="str"/>
      <c r="G6" s="48" t="str"/>
      <c r="H6" s="48" t="str"/>
    </row>
    <row r="7" ht="48" customHeight="1">
      <c r="A7" s="48" t="inlineStr">
        <is>
          <t>Hidden 2</t>
        </is>
      </c>
      <c r="B7" s="48" t="str"/>
      <c r="C7" s="48" t="str"/>
      <c r="D7" s="48" t="str"/>
      <c r="E7" s="48" t="str"/>
      <c r="F7" s="48" t="str"/>
      <c r="G7" s="48" t="str"/>
      <c r="H7" s="48" t="str"/>
    </row>
    <row r="8" ht="48" customHeight="1">
      <c r="A8" s="48" t="inlineStr">
        <is>
          <t>Hidden 3</t>
        </is>
      </c>
      <c r="B8" s="48" t="str"/>
      <c r="C8" s="48" t="str"/>
      <c r="D8" s="48" t="str"/>
      <c r="E8" s="48" t="str"/>
      <c r="F8" s="48" t="str"/>
      <c r="G8" s="48" t="str"/>
      <c r="H8" s="48" t="str"/>
    </row>
    <row r="10" ht="23" customHeight="1">
      <c r="A10" s="10" t="inlineStr">
        <is>
          <t>Bounded Code Change</t>
        </is>
      </c>
    </row>
    <row r="11" ht="43" customHeight="1">
      <c r="A11" s="14" t="inlineStr">
        <is>
          <t>Change request</t>
        </is>
      </c>
      <c r="B11" s="48" t="inlineStr">
        <is>
          <t>Add one routing feature/constraint and a deterministic test, then rerun a hidden brief and explain the changed route.</t>
        </is>
      </c>
    </row>
    <row r="12" ht="43" customHeight="1">
      <c r="A12" s="14" t="inlineStr">
        <is>
          <t>Candidate prediction</t>
        </is>
      </c>
      <c r="B12" s="48" t="str"/>
    </row>
    <row r="13" ht="43" customHeight="1">
      <c r="A13" s="14" t="inlineStr">
        <is>
          <t>Files/functions changed</t>
        </is>
      </c>
      <c r="B13" s="48" t="str"/>
    </row>
    <row r="14" ht="43" customHeight="1">
      <c r="A14" s="14" t="inlineStr">
        <is>
          <t>Test added/updated</t>
        </is>
      </c>
      <c r="B14" s="48" t="str"/>
    </row>
    <row r="15" ht="43" customHeight="1">
      <c r="A15" s="14" t="inlineStr">
        <is>
          <t>Smallest affected test result</t>
        </is>
      </c>
      <c r="B15" s="48" t="str"/>
    </row>
    <row r="16" ht="43" customHeight="1">
      <c r="A16" s="14" t="inlineStr">
        <is>
          <t>Relevant end-to-end retest</t>
        </is>
      </c>
      <c r="B16" s="48" t="str"/>
    </row>
    <row r="17" ht="43" customHeight="1">
      <c r="A17" s="14" t="inlineStr">
        <is>
          <t>Diagnosis/ownership evidence</t>
        </is>
      </c>
      <c r="B17" s="48" t="str"/>
    </row>
    <row r="18" ht="43" customHeight="1">
      <c r="A18" s="14" t="inlineStr">
        <is>
          <t>Final result</t>
        </is>
      </c>
      <c r="B18" s="48" t="str"/>
    </row>
    <row r="20" ht="23" customHeight="1">
      <c r="A20" s="10" t="inlineStr">
        <is>
          <t>Ownership Questions and Session Notes</t>
        </is>
      </c>
    </row>
    <row r="21">
      <c r="A21" s="48" t="n"/>
      <c r="B21" s="73" t="n"/>
      <c r="C21" s="73" t="n"/>
      <c r="D21" s="73" t="n"/>
      <c r="E21" s="73" t="n"/>
      <c r="F21" s="73" t="n"/>
      <c r="G21" s="73" t="n"/>
      <c r="H21" s="74" t="n"/>
    </row>
    <row r="22">
      <c r="A22" s="78" t="n"/>
      <c r="H22" s="79" t="n"/>
    </row>
    <row r="23">
      <c r="A23" s="78" t="n"/>
      <c r="H23" s="79" t="n"/>
    </row>
    <row r="24">
      <c r="A24" s="78" t="n"/>
      <c r="H24" s="79" t="n"/>
    </row>
    <row r="25">
      <c r="A25" s="78" t="n"/>
      <c r="H25" s="79" t="n"/>
    </row>
    <row r="26">
      <c r="A26" s="78" t="n"/>
      <c r="H26" s="79" t="n"/>
    </row>
    <row r="27">
      <c r="A27" s="78" t="n"/>
      <c r="H27" s="79" t="n"/>
    </row>
    <row r="28">
      <c r="A28" s="75" t="n"/>
      <c r="B28" s="76" t="n"/>
      <c r="C28" s="76" t="n"/>
      <c r="D28" s="76" t="n"/>
      <c r="E28" s="76" t="n"/>
      <c r="F28" s="76" t="n"/>
      <c r="G28" s="76" t="n"/>
      <c r="H28" s="77" t="n"/>
    </row>
  </sheetData>
  <mergeCells count="6">
    <mergeCell ref="A4:H4"/>
    <mergeCell ref="A21:H28"/>
    <mergeCell ref="A20:H20"/>
    <mergeCell ref="A2:H2"/>
    <mergeCell ref="A10:H10"/>
    <mergeCell ref="A1:H1"/>
  </mergeCells>
  <dataValidations count="2">
    <dataValidation sqref="E6:E8" showDropDown="0" showInputMessage="0" showErrorMessage="0" allowBlank="0" type="list">
      <formula1>"Pass,Partial,Fail"</formula1>
    </dataValidation>
    <dataValidation sqref="B18" showDropDown="0" showInputMessage="0" showErrorMessage="0" allowBlank="0" type="list">
      <formula1>"Completed and retested,Partial,Not completed"</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N36"/>
  <sheetViews>
    <sheetView showGridLines="0" workbookViewId="0">
      <selection activeCell="A1" sqref="A1"/>
    </sheetView>
  </sheetViews>
  <sheetFormatPr baseColWidth="8" defaultRowHeight="15"/>
  <cols>
    <col width="18" customWidth="1" min="1" max="1"/>
    <col width="15" customWidth="1" min="2" max="2"/>
    <col width="16" customWidth="1" min="3" max="3"/>
    <col width="14" customWidth="1" min="4" max="4"/>
    <col width="14" customWidth="1" min="5" max="5"/>
    <col width="13" customWidth="1" min="6" max="6"/>
    <col width="14" customWidth="1" min="7" max="7"/>
    <col width="15" customWidth="1" min="8" max="8"/>
    <col width="18" customWidth="1" min="9" max="9"/>
    <col width="12" customWidth="1" min="10" max="10"/>
    <col width="15" customWidth="1" min="11" max="11"/>
    <col width="12" customWidth="1" min="12" max="12"/>
    <col width="21" customWidth="1" min="13" max="13"/>
    <col width="32" customWidth="1" min="14" max="14"/>
  </cols>
  <sheetData>
    <row r="1" ht="34" customHeight="1">
      <c r="A1" s="3" t="inlineStr">
        <is>
          <t>Track 03 | Batch Moderation</t>
        </is>
      </c>
    </row>
    <row r="2" ht="28" customHeight="1">
      <c r="A2" s="7" t="inlineStr">
        <is>
          <t>Rank within track, double-score likely selections/borderline cases, then cross-track moderate</t>
        </is>
      </c>
    </row>
    <row r="4">
      <c r="A4" s="37" t="inlineStr">
        <is>
          <t>Candidate ID</t>
        </is>
      </c>
      <c r="B4" s="37" t="inlineStr">
        <is>
          <t>Functional /25</t>
        </is>
      </c>
      <c r="C4" s="37" t="inlineStr">
        <is>
          <t>Engineering /25</t>
        </is>
      </c>
      <c r="D4" s="37" t="inlineStr">
        <is>
          <t>Testing /20</t>
        </is>
      </c>
      <c r="E4" s="37" t="inlineStr">
        <is>
          <t>Efficiency /10</t>
        </is>
      </c>
      <c r="F4" s="37" t="inlineStr">
        <is>
          <t>Live /20</t>
        </is>
      </c>
      <c r="G4" s="37" t="inlineStr">
        <is>
          <t>Total /100</t>
        </is>
      </c>
      <c r="H4" s="37" t="inlineStr">
        <is>
          <t>Eligibility</t>
        </is>
      </c>
      <c r="I4" s="37" t="inlineStr">
        <is>
          <t>Verified level</t>
        </is>
      </c>
      <c r="J4" s="37" t="inlineStr">
        <is>
          <t>Track rank</t>
        </is>
      </c>
      <c r="K4" s="37" t="inlineStr">
        <is>
          <t>2nd score total</t>
        </is>
      </c>
      <c r="L4" s="37" t="inlineStr">
        <is>
          <t>Difference</t>
        </is>
      </c>
      <c r="M4" s="37" t="inlineStr">
        <is>
          <t>Moderation status</t>
        </is>
      </c>
      <c r="N4" s="37" t="inlineStr">
        <is>
          <t>Decision / notes</t>
        </is>
      </c>
    </row>
    <row r="5" ht="30" customHeight="1">
      <c r="A5" s="48" t="str"/>
      <c r="B5" s="48" t="str"/>
      <c r="C5" s="48" t="str"/>
      <c r="D5" s="48" t="str"/>
      <c r="E5" s="48" t="str"/>
      <c r="F5" s="48" t="str"/>
      <c r="G5" s="59">
        <f>IF(B5="","",SUM(B5:F5))</f>
        <v/>
      </c>
      <c r="H5" s="48" t="str"/>
      <c r="I5" s="48" t="str"/>
      <c r="J5" s="59">
        <f>IF(G5="","",RANK.EQ(G5,$G$5:$G$29,0))</f>
        <v/>
      </c>
      <c r="K5" s="48" t="str"/>
      <c r="L5" s="59">
        <f>IF(OR(G5="",K5=""),"",ABS(G5-K5))</f>
        <v/>
      </c>
      <c r="M5" s="48" t="str"/>
      <c r="N5" s="48" t="str"/>
    </row>
    <row r="6" ht="30" customHeight="1">
      <c r="A6" s="48" t="str"/>
      <c r="B6" s="48" t="str"/>
      <c r="C6" s="48" t="str"/>
      <c r="D6" s="48" t="str"/>
      <c r="E6" s="48" t="str"/>
      <c r="F6" s="48" t="str"/>
      <c r="G6" s="59">
        <f>IF(B6="","",SUM(B6:F6))</f>
        <v/>
      </c>
      <c r="H6" s="48" t="str"/>
      <c r="I6" s="48" t="str"/>
      <c r="J6" s="59">
        <f>IF(G6="","",RANK.EQ(G6,$G$5:$G$29,0))</f>
        <v/>
      </c>
      <c r="K6" s="48" t="str"/>
      <c r="L6" s="59">
        <f>IF(OR(G6="",K6=""),"",ABS(G6-K6))</f>
        <v/>
      </c>
      <c r="M6" s="48" t="str"/>
      <c r="N6" s="48" t="str"/>
    </row>
    <row r="7" ht="30" customHeight="1">
      <c r="A7" s="48" t="str"/>
      <c r="B7" s="48" t="str"/>
      <c r="C7" s="48" t="str"/>
      <c r="D7" s="48" t="str"/>
      <c r="E7" s="48" t="str"/>
      <c r="F7" s="48" t="str"/>
      <c r="G7" s="59">
        <f>IF(B7="","",SUM(B7:F7))</f>
        <v/>
      </c>
      <c r="H7" s="48" t="str"/>
      <c r="I7" s="48" t="str"/>
      <c r="J7" s="59">
        <f>IF(G7="","",RANK.EQ(G7,$G$5:$G$29,0))</f>
        <v/>
      </c>
      <c r="K7" s="48" t="str"/>
      <c r="L7" s="59">
        <f>IF(OR(G7="",K7=""),"",ABS(G7-K7))</f>
        <v/>
      </c>
      <c r="M7" s="48" t="str"/>
      <c r="N7" s="48" t="str"/>
    </row>
    <row r="8" ht="30" customHeight="1">
      <c r="A8" s="48" t="str"/>
      <c r="B8" s="48" t="str"/>
      <c r="C8" s="48" t="str"/>
      <c r="D8" s="48" t="str"/>
      <c r="E8" s="48" t="str"/>
      <c r="F8" s="48" t="str"/>
      <c r="G8" s="59">
        <f>IF(B8="","",SUM(B8:F8))</f>
        <v/>
      </c>
      <c r="H8" s="48" t="str"/>
      <c r="I8" s="48" t="str"/>
      <c r="J8" s="59">
        <f>IF(G8="","",RANK.EQ(G8,$G$5:$G$29,0))</f>
        <v/>
      </c>
      <c r="K8" s="48" t="str"/>
      <c r="L8" s="59">
        <f>IF(OR(G8="",K8=""),"",ABS(G8-K8))</f>
        <v/>
      </c>
      <c r="M8" s="48" t="str"/>
      <c r="N8" s="48" t="str"/>
    </row>
    <row r="9" ht="30" customHeight="1">
      <c r="A9" s="48" t="str"/>
      <c r="B9" s="48" t="str"/>
      <c r="C9" s="48" t="str"/>
      <c r="D9" s="48" t="str"/>
      <c r="E9" s="48" t="str"/>
      <c r="F9" s="48" t="str"/>
      <c r="G9" s="59">
        <f>IF(B9="","",SUM(B9:F9))</f>
        <v/>
      </c>
      <c r="H9" s="48" t="str"/>
      <c r="I9" s="48" t="str"/>
      <c r="J9" s="59">
        <f>IF(G9="","",RANK.EQ(G9,$G$5:$G$29,0))</f>
        <v/>
      </c>
      <c r="K9" s="48" t="str"/>
      <c r="L9" s="59">
        <f>IF(OR(G9="",K9=""),"",ABS(G9-K9))</f>
        <v/>
      </c>
      <c r="M9" s="48" t="str"/>
      <c r="N9" s="48" t="str"/>
    </row>
    <row r="10" ht="30" customHeight="1">
      <c r="A10" s="48" t="str"/>
      <c r="B10" s="48" t="str"/>
      <c r="C10" s="48" t="str"/>
      <c r="D10" s="48" t="str"/>
      <c r="E10" s="48" t="str"/>
      <c r="F10" s="48" t="str"/>
      <c r="G10" s="59">
        <f>IF(B10="","",SUM(B10:F10))</f>
        <v/>
      </c>
      <c r="H10" s="48" t="str"/>
      <c r="I10" s="48" t="str"/>
      <c r="J10" s="59">
        <f>IF(G10="","",RANK.EQ(G10,$G$5:$G$29,0))</f>
        <v/>
      </c>
      <c r="K10" s="48" t="str"/>
      <c r="L10" s="59">
        <f>IF(OR(G10="",K10=""),"",ABS(G10-K10))</f>
        <v/>
      </c>
      <c r="M10" s="48" t="str"/>
      <c r="N10" s="48" t="str"/>
    </row>
    <row r="11" ht="30" customHeight="1">
      <c r="A11" s="48" t="str"/>
      <c r="B11" s="48" t="str"/>
      <c r="C11" s="48" t="str"/>
      <c r="D11" s="48" t="str"/>
      <c r="E11" s="48" t="str"/>
      <c r="F11" s="48" t="str"/>
      <c r="G11" s="59">
        <f>IF(B11="","",SUM(B11:F11))</f>
        <v/>
      </c>
      <c r="H11" s="48" t="str"/>
      <c r="I11" s="48" t="str"/>
      <c r="J11" s="59">
        <f>IF(G11="","",RANK.EQ(G11,$G$5:$G$29,0))</f>
        <v/>
      </c>
      <c r="K11" s="48" t="str"/>
      <c r="L11" s="59">
        <f>IF(OR(G11="",K11=""),"",ABS(G11-K11))</f>
        <v/>
      </c>
      <c r="M11" s="48" t="str"/>
      <c r="N11" s="48" t="str"/>
    </row>
    <row r="12" ht="30" customHeight="1">
      <c r="A12" s="48" t="str"/>
      <c r="B12" s="48" t="str"/>
      <c r="C12" s="48" t="str"/>
      <c r="D12" s="48" t="str"/>
      <c r="E12" s="48" t="str"/>
      <c r="F12" s="48" t="str"/>
      <c r="G12" s="59">
        <f>IF(B12="","",SUM(B12:F12))</f>
        <v/>
      </c>
      <c r="H12" s="48" t="str"/>
      <c r="I12" s="48" t="str"/>
      <c r="J12" s="59">
        <f>IF(G12="","",RANK.EQ(G12,$G$5:$G$29,0))</f>
        <v/>
      </c>
      <c r="K12" s="48" t="str"/>
      <c r="L12" s="59">
        <f>IF(OR(G12="",K12=""),"",ABS(G12-K12))</f>
        <v/>
      </c>
      <c r="M12" s="48" t="str"/>
      <c r="N12" s="48" t="str"/>
    </row>
    <row r="13" ht="30" customHeight="1">
      <c r="A13" s="48" t="str"/>
      <c r="B13" s="48" t="str"/>
      <c r="C13" s="48" t="str"/>
      <c r="D13" s="48" t="str"/>
      <c r="E13" s="48" t="str"/>
      <c r="F13" s="48" t="str"/>
      <c r="G13" s="59">
        <f>IF(B13="","",SUM(B13:F13))</f>
        <v/>
      </c>
      <c r="H13" s="48" t="str"/>
      <c r="I13" s="48" t="str"/>
      <c r="J13" s="59">
        <f>IF(G13="","",RANK.EQ(G13,$G$5:$G$29,0))</f>
        <v/>
      </c>
      <c r="K13" s="48" t="str"/>
      <c r="L13" s="59">
        <f>IF(OR(G13="",K13=""),"",ABS(G13-K13))</f>
        <v/>
      </c>
      <c r="M13" s="48" t="str"/>
      <c r="N13" s="48" t="str"/>
    </row>
    <row r="14" ht="30" customHeight="1">
      <c r="A14" s="48" t="str"/>
      <c r="B14" s="48" t="str"/>
      <c r="C14" s="48" t="str"/>
      <c r="D14" s="48" t="str"/>
      <c r="E14" s="48" t="str"/>
      <c r="F14" s="48" t="str"/>
      <c r="G14" s="59">
        <f>IF(B14="","",SUM(B14:F14))</f>
        <v/>
      </c>
      <c r="H14" s="48" t="str"/>
      <c r="I14" s="48" t="str"/>
      <c r="J14" s="59">
        <f>IF(G14="","",RANK.EQ(G14,$G$5:$G$29,0))</f>
        <v/>
      </c>
      <c r="K14" s="48" t="str"/>
      <c r="L14" s="59">
        <f>IF(OR(G14="",K14=""),"",ABS(G14-K14))</f>
        <v/>
      </c>
      <c r="M14" s="48" t="str"/>
      <c r="N14" s="48" t="str"/>
    </row>
    <row r="15" ht="30" customHeight="1">
      <c r="A15" s="48" t="str"/>
      <c r="B15" s="48" t="str"/>
      <c r="C15" s="48" t="str"/>
      <c r="D15" s="48" t="str"/>
      <c r="E15" s="48" t="str"/>
      <c r="F15" s="48" t="str"/>
      <c r="G15" s="59">
        <f>IF(B15="","",SUM(B15:F15))</f>
        <v/>
      </c>
      <c r="H15" s="48" t="str"/>
      <c r="I15" s="48" t="str"/>
      <c r="J15" s="59">
        <f>IF(G15="","",RANK.EQ(G15,$G$5:$G$29,0))</f>
        <v/>
      </c>
      <c r="K15" s="48" t="str"/>
      <c r="L15" s="59">
        <f>IF(OR(G15="",K15=""),"",ABS(G15-K15))</f>
        <v/>
      </c>
      <c r="M15" s="48" t="str"/>
      <c r="N15" s="48" t="str"/>
    </row>
    <row r="16" ht="30" customHeight="1">
      <c r="A16" s="48" t="str"/>
      <c r="B16" s="48" t="str"/>
      <c r="C16" s="48" t="str"/>
      <c r="D16" s="48" t="str"/>
      <c r="E16" s="48" t="str"/>
      <c r="F16" s="48" t="str"/>
      <c r="G16" s="59">
        <f>IF(B16="","",SUM(B16:F16))</f>
        <v/>
      </c>
      <c r="H16" s="48" t="str"/>
      <c r="I16" s="48" t="str"/>
      <c r="J16" s="59">
        <f>IF(G16="","",RANK.EQ(G16,$G$5:$G$29,0))</f>
        <v/>
      </c>
      <c r="K16" s="48" t="str"/>
      <c r="L16" s="59">
        <f>IF(OR(G16="",K16=""),"",ABS(G16-K16))</f>
        <v/>
      </c>
      <c r="M16" s="48" t="str"/>
      <c r="N16" s="48" t="str"/>
    </row>
    <row r="17" ht="30" customHeight="1">
      <c r="A17" s="48" t="str"/>
      <c r="B17" s="48" t="str"/>
      <c r="C17" s="48" t="str"/>
      <c r="D17" s="48" t="str"/>
      <c r="E17" s="48" t="str"/>
      <c r="F17" s="48" t="str"/>
      <c r="G17" s="59">
        <f>IF(B17="","",SUM(B17:F17))</f>
        <v/>
      </c>
      <c r="H17" s="48" t="str"/>
      <c r="I17" s="48" t="str"/>
      <c r="J17" s="59">
        <f>IF(G17="","",RANK.EQ(G17,$G$5:$G$29,0))</f>
        <v/>
      </c>
      <c r="K17" s="48" t="str"/>
      <c r="L17" s="59">
        <f>IF(OR(G17="",K17=""),"",ABS(G17-K17))</f>
        <v/>
      </c>
      <c r="M17" s="48" t="str"/>
      <c r="N17" s="48" t="str"/>
    </row>
    <row r="18" ht="30" customHeight="1">
      <c r="A18" s="48" t="str"/>
      <c r="B18" s="48" t="str"/>
      <c r="C18" s="48" t="str"/>
      <c r="D18" s="48" t="str"/>
      <c r="E18" s="48" t="str"/>
      <c r="F18" s="48" t="str"/>
      <c r="G18" s="59">
        <f>IF(B18="","",SUM(B18:F18))</f>
        <v/>
      </c>
      <c r="H18" s="48" t="str"/>
      <c r="I18" s="48" t="str"/>
      <c r="J18" s="59">
        <f>IF(G18="","",RANK.EQ(G18,$G$5:$G$29,0))</f>
        <v/>
      </c>
      <c r="K18" s="48" t="str"/>
      <c r="L18" s="59">
        <f>IF(OR(G18="",K18=""),"",ABS(G18-K18))</f>
        <v/>
      </c>
      <c r="M18" s="48" t="str"/>
      <c r="N18" s="48" t="str"/>
    </row>
    <row r="19" ht="30" customHeight="1">
      <c r="A19" s="48" t="str"/>
      <c r="B19" s="48" t="str"/>
      <c r="C19" s="48" t="str"/>
      <c r="D19" s="48" t="str"/>
      <c r="E19" s="48" t="str"/>
      <c r="F19" s="48" t="str"/>
      <c r="G19" s="59">
        <f>IF(B19="","",SUM(B19:F19))</f>
        <v/>
      </c>
      <c r="H19" s="48" t="str"/>
      <c r="I19" s="48" t="str"/>
      <c r="J19" s="59">
        <f>IF(G19="","",RANK.EQ(G19,$G$5:$G$29,0))</f>
        <v/>
      </c>
      <c r="K19" s="48" t="str"/>
      <c r="L19" s="59">
        <f>IF(OR(G19="",K19=""),"",ABS(G19-K19))</f>
        <v/>
      </c>
      <c r="M19" s="48" t="str"/>
      <c r="N19" s="48" t="str"/>
    </row>
    <row r="20" ht="30" customHeight="1">
      <c r="A20" s="48" t="str"/>
      <c r="B20" s="48" t="str"/>
      <c r="C20" s="48" t="str"/>
      <c r="D20" s="48" t="str"/>
      <c r="E20" s="48" t="str"/>
      <c r="F20" s="48" t="str"/>
      <c r="G20" s="59">
        <f>IF(B20="","",SUM(B20:F20))</f>
        <v/>
      </c>
      <c r="H20" s="48" t="str"/>
      <c r="I20" s="48" t="str"/>
      <c r="J20" s="59">
        <f>IF(G20="","",RANK.EQ(G20,$G$5:$G$29,0))</f>
        <v/>
      </c>
      <c r="K20" s="48" t="str"/>
      <c r="L20" s="59">
        <f>IF(OR(G20="",K20=""),"",ABS(G20-K20))</f>
        <v/>
      </c>
      <c r="M20" s="48" t="str"/>
      <c r="N20" s="48" t="str"/>
    </row>
    <row r="21" ht="30" customHeight="1">
      <c r="A21" s="48" t="str"/>
      <c r="B21" s="48" t="str"/>
      <c r="C21" s="48" t="str"/>
      <c r="D21" s="48" t="str"/>
      <c r="E21" s="48" t="str"/>
      <c r="F21" s="48" t="str"/>
      <c r="G21" s="59">
        <f>IF(B21="","",SUM(B21:F21))</f>
        <v/>
      </c>
      <c r="H21" s="48" t="str"/>
      <c r="I21" s="48" t="str"/>
      <c r="J21" s="59">
        <f>IF(G21="","",RANK.EQ(G21,$G$5:$G$29,0))</f>
        <v/>
      </c>
      <c r="K21" s="48" t="str"/>
      <c r="L21" s="59">
        <f>IF(OR(G21="",K21=""),"",ABS(G21-K21))</f>
        <v/>
      </c>
      <c r="M21" s="48" t="str"/>
      <c r="N21" s="48" t="str"/>
    </row>
    <row r="22" ht="30" customHeight="1">
      <c r="A22" s="48" t="str"/>
      <c r="B22" s="48" t="str"/>
      <c r="C22" s="48" t="str"/>
      <c r="D22" s="48" t="str"/>
      <c r="E22" s="48" t="str"/>
      <c r="F22" s="48" t="str"/>
      <c r="G22" s="59">
        <f>IF(B22="","",SUM(B22:F22))</f>
        <v/>
      </c>
      <c r="H22" s="48" t="str"/>
      <c r="I22" s="48" t="str"/>
      <c r="J22" s="59">
        <f>IF(G22="","",RANK.EQ(G22,$G$5:$G$29,0))</f>
        <v/>
      </c>
      <c r="K22" s="48" t="str"/>
      <c r="L22" s="59">
        <f>IF(OR(G22="",K22=""),"",ABS(G22-K22))</f>
        <v/>
      </c>
      <c r="M22" s="48" t="str"/>
      <c r="N22" s="48" t="str"/>
    </row>
    <row r="23" ht="30" customHeight="1">
      <c r="A23" s="48" t="str"/>
      <c r="B23" s="48" t="str"/>
      <c r="C23" s="48" t="str"/>
      <c r="D23" s="48" t="str"/>
      <c r="E23" s="48" t="str"/>
      <c r="F23" s="48" t="str"/>
      <c r="G23" s="59">
        <f>IF(B23="","",SUM(B23:F23))</f>
        <v/>
      </c>
      <c r="H23" s="48" t="str"/>
      <c r="I23" s="48" t="str"/>
      <c r="J23" s="59">
        <f>IF(G23="","",RANK.EQ(G23,$G$5:$G$29,0))</f>
        <v/>
      </c>
      <c r="K23" s="48" t="str"/>
      <c r="L23" s="59">
        <f>IF(OR(G23="",K23=""),"",ABS(G23-K23))</f>
        <v/>
      </c>
      <c r="M23" s="48" t="str"/>
      <c r="N23" s="48" t="str"/>
    </row>
    <row r="24" ht="30" customHeight="1">
      <c r="A24" s="48" t="str"/>
      <c r="B24" s="48" t="str"/>
      <c r="C24" s="48" t="str"/>
      <c r="D24" s="48" t="str"/>
      <c r="E24" s="48" t="str"/>
      <c r="F24" s="48" t="str"/>
      <c r="G24" s="59">
        <f>IF(B24="","",SUM(B24:F24))</f>
        <v/>
      </c>
      <c r="H24" s="48" t="str"/>
      <c r="I24" s="48" t="str"/>
      <c r="J24" s="59">
        <f>IF(G24="","",RANK.EQ(G24,$G$5:$G$29,0))</f>
        <v/>
      </c>
      <c r="K24" s="48" t="str"/>
      <c r="L24" s="59">
        <f>IF(OR(G24="",K24=""),"",ABS(G24-K24))</f>
        <v/>
      </c>
      <c r="M24" s="48" t="str"/>
      <c r="N24" s="48" t="str"/>
    </row>
    <row r="25" ht="30" customHeight="1">
      <c r="A25" s="48" t="str"/>
      <c r="B25" s="48" t="str"/>
      <c r="C25" s="48" t="str"/>
      <c r="D25" s="48" t="str"/>
      <c r="E25" s="48" t="str"/>
      <c r="F25" s="48" t="str"/>
      <c r="G25" s="59">
        <f>IF(B25="","",SUM(B25:F25))</f>
        <v/>
      </c>
      <c r="H25" s="48" t="str"/>
      <c r="I25" s="48" t="str"/>
      <c r="J25" s="59">
        <f>IF(G25="","",RANK.EQ(G25,$G$5:$G$29,0))</f>
        <v/>
      </c>
      <c r="K25" s="48" t="str"/>
      <c r="L25" s="59">
        <f>IF(OR(G25="",K25=""),"",ABS(G25-K25))</f>
        <v/>
      </c>
      <c r="M25" s="48" t="str"/>
      <c r="N25" s="48" t="str"/>
    </row>
    <row r="26" ht="30" customHeight="1">
      <c r="A26" s="48" t="str"/>
      <c r="B26" s="48" t="str"/>
      <c r="C26" s="48" t="str"/>
      <c r="D26" s="48" t="str"/>
      <c r="E26" s="48" t="str"/>
      <c r="F26" s="48" t="str"/>
      <c r="G26" s="59">
        <f>IF(B26="","",SUM(B26:F26))</f>
        <v/>
      </c>
      <c r="H26" s="48" t="str"/>
      <c r="I26" s="48" t="str"/>
      <c r="J26" s="59">
        <f>IF(G26="","",RANK.EQ(G26,$G$5:$G$29,0))</f>
        <v/>
      </c>
      <c r="K26" s="48" t="str"/>
      <c r="L26" s="59">
        <f>IF(OR(G26="",K26=""),"",ABS(G26-K26))</f>
        <v/>
      </c>
      <c r="M26" s="48" t="str"/>
      <c r="N26" s="48" t="str"/>
    </row>
    <row r="27" ht="30" customHeight="1">
      <c r="A27" s="48" t="str"/>
      <c r="B27" s="48" t="str"/>
      <c r="C27" s="48" t="str"/>
      <c r="D27" s="48" t="str"/>
      <c r="E27" s="48" t="str"/>
      <c r="F27" s="48" t="str"/>
      <c r="G27" s="59">
        <f>IF(B27="","",SUM(B27:F27))</f>
        <v/>
      </c>
      <c r="H27" s="48" t="str"/>
      <c r="I27" s="48" t="str"/>
      <c r="J27" s="59">
        <f>IF(G27="","",RANK.EQ(G27,$G$5:$G$29,0))</f>
        <v/>
      </c>
      <c r="K27" s="48" t="str"/>
      <c r="L27" s="59">
        <f>IF(OR(G27="",K27=""),"",ABS(G27-K27))</f>
        <v/>
      </c>
      <c r="M27" s="48" t="str"/>
      <c r="N27" s="48" t="str"/>
    </row>
    <row r="28" ht="30" customHeight="1">
      <c r="A28" s="48" t="str"/>
      <c r="B28" s="48" t="str"/>
      <c r="C28" s="48" t="str"/>
      <c r="D28" s="48" t="str"/>
      <c r="E28" s="48" t="str"/>
      <c r="F28" s="48" t="str"/>
      <c r="G28" s="59">
        <f>IF(B28="","",SUM(B28:F28))</f>
        <v/>
      </c>
      <c r="H28" s="48" t="str"/>
      <c r="I28" s="48" t="str"/>
      <c r="J28" s="59">
        <f>IF(G28="","",RANK.EQ(G28,$G$5:$G$29,0))</f>
        <v/>
      </c>
      <c r="K28" s="48" t="str"/>
      <c r="L28" s="59">
        <f>IF(OR(G28="",K28=""),"",ABS(G28-K28))</f>
        <v/>
      </c>
      <c r="M28" s="48" t="str"/>
      <c r="N28" s="48" t="str"/>
    </row>
    <row r="29" ht="30" customHeight="1">
      <c r="A29" s="48" t="str"/>
      <c r="B29" s="48" t="str"/>
      <c r="C29" s="48" t="str"/>
      <c r="D29" s="48" t="str"/>
      <c r="E29" s="48" t="str"/>
      <c r="F29" s="48" t="str"/>
      <c r="G29" s="59">
        <f>IF(B29="","",SUM(B29:F29))</f>
        <v/>
      </c>
      <c r="H29" s="48" t="str"/>
      <c r="I29" s="48" t="str"/>
      <c r="J29" s="59">
        <f>IF(G29="","",RANK.EQ(G29,$G$5:$G$29,0))</f>
        <v/>
      </c>
      <c r="K29" s="48" t="str"/>
      <c r="L29" s="59">
        <f>IF(OR(G29="",K29=""),"",ABS(G29-K29))</f>
        <v/>
      </c>
      <c r="M29" s="48" t="str"/>
      <c r="N29" s="48" t="str"/>
    </row>
    <row r="31" ht="23" customHeight="1">
      <c r="A31" s="10" t="inlineStr">
        <is>
          <t>Moderation Controls</t>
        </is>
      </c>
    </row>
    <row r="32">
      <c r="A32" s="37" t="inlineStr">
        <is>
          <t>Control</t>
        </is>
      </c>
      <c r="B32" s="37" t="inlineStr">
        <is>
          <t>Required action</t>
        </is>
      </c>
      <c r="C32" s="70" t="n"/>
      <c r="D32" s="70" t="n"/>
      <c r="E32" s="70" t="n"/>
      <c r="F32" s="70" t="n"/>
      <c r="G32" s="70" t="n"/>
      <c r="H32" s="70" t="n"/>
      <c r="I32" s="70" t="n"/>
      <c r="J32" s="70" t="n"/>
      <c r="K32" s="70" t="n"/>
      <c r="L32" s="70" t="n"/>
      <c r="M32" s="70" t="n"/>
      <c r="N32" s="71" t="n"/>
    </row>
    <row r="33" ht="34" customHeight="1">
      <c r="A33" s="69" t="inlineStr">
        <is>
          <t>Anchor calibration</t>
        </is>
      </c>
      <c r="B33" s="34" t="inlineStr">
        <is>
          <t>Two anchor submissions scored before final marking</t>
        </is>
      </c>
      <c r="C33" s="70" t="n"/>
      <c r="D33" s="70" t="n"/>
      <c r="E33" s="70" t="n"/>
      <c r="F33" s="70" t="n"/>
      <c r="G33" s="70" t="n"/>
      <c r="H33" s="70" t="n"/>
      <c r="I33" s="70" t="n"/>
      <c r="J33" s="70" t="n"/>
      <c r="K33" s="70" t="n"/>
      <c r="L33" s="70" t="n"/>
      <c r="M33" s="70" t="n"/>
      <c r="N33" s="71" t="n"/>
    </row>
    <row r="34" ht="34" customHeight="1">
      <c r="A34" s="69" t="inlineStr">
        <is>
          <t>Double scoring</t>
        </is>
      </c>
      <c r="B34" s="34" t="inlineStr">
        <is>
          <t>All likely selections, within 5 of cutoff, &gt;5 disagreement, and at least 20% of track</t>
        </is>
      </c>
      <c r="C34" s="70" t="n"/>
      <c r="D34" s="70" t="n"/>
      <c r="E34" s="70" t="n"/>
      <c r="F34" s="70" t="n"/>
      <c r="G34" s="70" t="n"/>
      <c r="H34" s="70" t="n"/>
      <c r="I34" s="70" t="n"/>
      <c r="J34" s="70" t="n"/>
      <c r="K34" s="70" t="n"/>
      <c r="L34" s="70" t="n"/>
      <c r="M34" s="70" t="n"/>
      <c r="N34" s="71" t="n"/>
    </row>
    <row r="35" ht="34" customHeight="1">
      <c r="A35" s="69" t="inlineStr">
        <is>
          <t>Cross-track moderation</t>
        </is>
      </c>
      <c r="B35" s="34" t="inlineStr">
        <is>
          <t>Compare difficulty and evaluator severity after ranking within track</t>
        </is>
      </c>
      <c r="C35" s="70" t="n"/>
      <c r="D35" s="70" t="n"/>
      <c r="E35" s="70" t="n"/>
      <c r="F35" s="70" t="n"/>
      <c r="G35" s="70" t="n"/>
      <c r="H35" s="70" t="n"/>
      <c r="I35" s="70" t="n"/>
      <c r="J35" s="70" t="n"/>
      <c r="K35" s="70" t="n"/>
      <c r="L35" s="70" t="n"/>
      <c r="M35" s="70" t="n"/>
      <c r="N35" s="71" t="n"/>
    </row>
    <row r="36" ht="34" customHeight="1">
      <c r="A36" s="69" t="inlineStr">
        <is>
          <t>Tie-break order</t>
        </is>
      </c>
      <c r="B36" s="34" t="inlineStr">
        <is>
          <t>Live ownership, engineering, testing, functional quality, efficiency/licensing/product</t>
        </is>
      </c>
      <c r="C36" s="70" t="n"/>
      <c r="D36" s="70" t="n"/>
      <c r="E36" s="70" t="n"/>
      <c r="F36" s="70" t="n"/>
      <c r="G36" s="70" t="n"/>
      <c r="H36" s="70" t="n"/>
      <c r="I36" s="70" t="n"/>
      <c r="J36" s="70" t="n"/>
      <c r="K36" s="70" t="n"/>
      <c r="L36" s="70" t="n"/>
      <c r="M36" s="70" t="n"/>
      <c r="N36" s="71" t="n"/>
    </row>
  </sheetData>
  <mergeCells count="8">
    <mergeCell ref="B36:N36"/>
    <mergeCell ref="A31:N31"/>
    <mergeCell ref="B32:N32"/>
    <mergeCell ref="B35:N35"/>
    <mergeCell ref="A2:N2"/>
    <mergeCell ref="B33:N33"/>
    <mergeCell ref="B34:N34"/>
    <mergeCell ref="A1:N1"/>
  </mergeCells>
  <dataValidations count="3">
    <dataValidation sqref="H5:H29" showDropDown="0" showInputMessage="0" showErrorMessage="0" allowBlank="0" type="list">
      <formula1>"ELIGIBLE,INELIGIBLE,PENDING"</formula1>
    </dataValidation>
    <dataValidation sqref="I5:I29" showDropDown="0" showInputMessage="0" showErrorMessage="0" allowBlank="0" type="list">
      <formula1>"BELOW BASELINE,BASELINE,STRONG,EXCEPTIONAL"</formula1>
    </dataValidation>
    <dataValidation sqref="M5:M29" showDropDown="0" showInputMessage="0" showErrorMessage="0" allowBlank="0" type="list">
      <formula1>"Not required,Required,Completed,Disagreement review"</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2026-09-11T04:57:05Z</dcterms:created>
  <dcterms:modified xsi:type="dcterms:W3CDTF">2026-09-11T04:57:06Z</dcterms:modified>
</cp:coreProperties>
</file>